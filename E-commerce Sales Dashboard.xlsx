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72802C4219A6ADD4/Documents/"/>
    </mc:Choice>
  </mc:AlternateContent>
  <xr:revisionPtr revIDLastSave="0" documentId="8_{7665242D-E976-46E2-ABB4-90A72D2DB05A}" xr6:coauthVersionLast="47" xr6:coauthVersionMax="47" xr10:uidLastSave="{00000000-0000-0000-0000-000000000000}"/>
  <bookViews>
    <workbookView xWindow="-120" yWindow="-120" windowWidth="20730" windowHeight="11160" activeTab="2" xr2:uid="{6FF50462-477A-45B2-907E-6D141009AA52}"/>
  </bookViews>
  <sheets>
    <sheet name="Pivot" sheetId="2" r:id="rId1"/>
    <sheet name="Original" sheetId="1" r:id="rId2"/>
    <sheet name="Dashboard" sheetId="3" r:id="rId3"/>
  </sheets>
  <definedNames>
    <definedName name="_xlnm._FilterDatabase" localSheetId="1" hidden="1">Original!$A$1:$K$93</definedName>
    <definedName name="_xlchart.v1.0" hidden="1">Pivot!$H$18:$H$25</definedName>
    <definedName name="_xlchart.v1.1" hidden="1">Pivot!$I$17</definedName>
    <definedName name="_xlchart.v1.10" hidden="1">Pivot!$I$18:$I$25</definedName>
    <definedName name="_xlchart.v1.15" hidden="1">Pivot!$H$18:$H$25</definedName>
    <definedName name="_xlchart.v1.16" hidden="1">Pivot!$I$17</definedName>
    <definedName name="_xlchart.v1.17" hidden="1">Pivot!$I$18:$I$25</definedName>
    <definedName name="_xlchart.v1.2" hidden="1">Pivot!$I$18:$I$25</definedName>
    <definedName name="_xlchart.v1.8" hidden="1">Pivot!$H$18:$H$25</definedName>
    <definedName name="_xlchart.v1.9" hidden="1">Pivot!$I$17</definedName>
    <definedName name="_xlchart.v5.11" hidden="1">Pivot!$N$17</definedName>
    <definedName name="_xlchart.v5.12" hidden="1">Pivot!$N$18:$N$25</definedName>
    <definedName name="_xlchart.v5.13" hidden="1">Pivot!$O$17</definedName>
    <definedName name="_xlchart.v5.14" hidden="1">Pivot!$O$18:$O$25</definedName>
    <definedName name="_xlchart.v5.3" hidden="1">Pivot!$N$17</definedName>
    <definedName name="_xlchart.v5.4" hidden="1">Pivot!$N$18:$N$25</definedName>
    <definedName name="_xlchart.v5.5" hidden="1">Pivot!$O$16</definedName>
    <definedName name="_xlchart.v5.6" hidden="1">Pivot!$O$17</definedName>
    <definedName name="_xlchart.v5.7" hidden="1">Pivot!$O$18:$O$25</definedName>
    <definedName name="Slicer_Order_ID">#N/A</definedName>
  </definedNames>
  <calcPr calcId="191029"/>
  <pivotCaches>
    <pivotCache cacheId="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 i="2" l="1"/>
  <c r="O19" i="2"/>
  <c r="O23" i="2"/>
  <c r="O21" i="2"/>
  <c r="O20" i="2"/>
  <c r="O24" i="2"/>
  <c r="O25" i="2"/>
  <c r="O22" i="2"/>
  <c r="O18" i="2"/>
  <c r="I19" i="2"/>
  <c r="I23" i="2"/>
  <c r="I24" i="2"/>
  <c r="I20" i="2"/>
  <c r="I21" i="2"/>
  <c r="I25" i="2"/>
  <c r="I22" i="2"/>
  <c r="I18" i="2"/>
  <c r="M1" i="2"/>
  <c r="G1" i="2"/>
  <c r="D1" i="2"/>
</calcChain>
</file>

<file path=xl/sharedStrings.xml><?xml version="1.0" encoding="utf-8"?>
<sst xmlns="http://schemas.openxmlformats.org/spreadsheetml/2006/main" count="471" uniqueCount="50">
  <si>
    <t>Order ID</t>
  </si>
  <si>
    <t>Order Date</t>
  </si>
  <si>
    <t>Product Name</t>
  </si>
  <si>
    <t>Category</t>
  </si>
  <si>
    <t>Quantity</t>
  </si>
  <si>
    <t>Purchase Price</t>
  </si>
  <si>
    <t>Sale Price</t>
  </si>
  <si>
    <t>Revenue</t>
  </si>
  <si>
    <t>Profit</t>
  </si>
  <si>
    <t>State</t>
  </si>
  <si>
    <t>Wireless Mouse</t>
  </si>
  <si>
    <t>Electronics</t>
  </si>
  <si>
    <t>Delhi</t>
  </si>
  <si>
    <t>Tamil Nadu</t>
  </si>
  <si>
    <t>Bluetooth Headset</t>
  </si>
  <si>
    <t>Maharashtra</t>
  </si>
  <si>
    <t>T-Shirt</t>
  </si>
  <si>
    <t>Fashion</t>
  </si>
  <si>
    <t>Madhya Pradesh</t>
  </si>
  <si>
    <t>Jeans</t>
  </si>
  <si>
    <t>Karnataka</t>
  </si>
  <si>
    <t>Uttar Pradesh</t>
  </si>
  <si>
    <t>Sports Shoes</t>
  </si>
  <si>
    <t>Footwear</t>
  </si>
  <si>
    <t>Gujarat</t>
  </si>
  <si>
    <t>Backpack</t>
  </si>
  <si>
    <t>Accessories</t>
  </si>
  <si>
    <t>Smart Watch</t>
  </si>
  <si>
    <t>Rajasthan</t>
  </si>
  <si>
    <t>Sunglasses</t>
  </si>
  <si>
    <t>Month</t>
  </si>
  <si>
    <t>Apr</t>
  </si>
  <si>
    <t>Oct</t>
  </si>
  <si>
    <t>Sep</t>
  </si>
  <si>
    <t>Aug</t>
  </si>
  <si>
    <t>Feb</t>
  </si>
  <si>
    <t>Jan</t>
  </si>
  <si>
    <t>Nov</t>
  </si>
  <si>
    <t>May</t>
  </si>
  <si>
    <t>Dec</t>
  </si>
  <si>
    <t>Jun</t>
  </si>
  <si>
    <t>Mar</t>
  </si>
  <si>
    <t>Jul</t>
  </si>
  <si>
    <t>Sum of Profit</t>
  </si>
  <si>
    <t>Row Labels</t>
  </si>
  <si>
    <t>Grand Total</t>
  </si>
  <si>
    <t>Sum of Quantity</t>
  </si>
  <si>
    <t>Sum of Sale Price</t>
  </si>
  <si>
    <t>Sum of Purchase Price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</si>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</sst>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top"/>
    </xf>
    <xf numFmtId="0" fontId="0" fillId="0" borderId="0" xfId="0" applyAlignment="1">
      <alignment horizontal="center" vertical="top"/>
    </xf>
    <xf numFmtId="14" fontId="0" fillId="0" borderId="0" xfId="0" applyNumberFormat="1" applyAlignment="1">
      <alignment horizontal="center" vertical="top"/>
    </xf>
    <xf numFmtId="0" fontId="0" fillId="0" borderId="0" xfId="0" applyNumberFormat="1"/>
    <xf numFmtId="0" fontId="2" fillId="3" borderId="1" xfId="0" applyFont="1" applyFill="1" applyBorder="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Dashboard.xlsx]Pivot!PivotTable1</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Pivot!$D$2</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dPt>
            <c:idx val="2"/>
            <c:bubble3D val="0"/>
            <c:spPr>
              <a:solidFill>
                <a:schemeClr val="accent3"/>
              </a:solidFill>
              <a:ln w="19050">
                <a:noFill/>
              </a:ln>
              <a:effectLst/>
            </c:spPr>
          </c:dPt>
          <c:dPt>
            <c:idx val="3"/>
            <c:bubble3D val="0"/>
            <c:spPr>
              <a:solidFill>
                <a:schemeClr val="accent4"/>
              </a:solidFill>
              <a:ln w="19050">
                <a:noFill/>
              </a:ln>
              <a:effectLst/>
            </c:spPr>
          </c:dPt>
          <c:dPt>
            <c:idx val="4"/>
            <c:bubble3D val="0"/>
            <c:spPr>
              <a:solidFill>
                <a:schemeClr val="accent5"/>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Pivot!$C$3:$C$8</c:f>
              <c:strCache>
                <c:ptCount val="5"/>
                <c:pt idx="0">
                  <c:v>Accessories</c:v>
                </c:pt>
                <c:pt idx="1">
                  <c:v>Electronics</c:v>
                </c:pt>
                <c:pt idx="2">
                  <c:v>Fashion</c:v>
                </c:pt>
                <c:pt idx="3">
                  <c:v>Footwear</c:v>
                </c:pt>
                <c:pt idx="4">
                  <c:v>(blank)</c:v>
                </c:pt>
              </c:strCache>
            </c:strRef>
          </c:cat>
          <c:val>
            <c:numRef>
              <c:f>Pivot!$D$3:$D$8</c:f>
              <c:numCache>
                <c:formatCode>General</c:formatCode>
                <c:ptCount val="5"/>
                <c:pt idx="0">
                  <c:v>66</c:v>
                </c:pt>
                <c:pt idx="1">
                  <c:v>138</c:v>
                </c:pt>
                <c:pt idx="2">
                  <c:v>84</c:v>
                </c:pt>
                <c:pt idx="3">
                  <c:v>35</c:v>
                </c:pt>
              </c:numCache>
            </c:numRef>
          </c:val>
          <c:extLst>
            <c:ext xmlns:c16="http://schemas.microsoft.com/office/drawing/2014/chart" uri="{C3380CC4-5D6E-409C-BE32-E72D297353CC}">
              <c16:uniqueId val="{00000000-BF9E-4F41-AE84-CCBD54B706B4}"/>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Dashboard.xlsx]Pivot!PivotTable2</c:name>
    <c:fmtId val="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Pivot!$G$2</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dPt>
            <c:idx val="2"/>
            <c:bubble3D val="0"/>
            <c:spPr>
              <a:solidFill>
                <a:schemeClr val="accent3"/>
              </a:solidFill>
              <a:ln w="19050">
                <a:noFill/>
              </a:ln>
              <a:effectLst/>
            </c:spPr>
          </c:dPt>
          <c:dPt>
            <c:idx val="3"/>
            <c:bubble3D val="0"/>
            <c:spPr>
              <a:solidFill>
                <a:schemeClr val="accent4"/>
              </a:solidFill>
              <a:ln w="19050">
                <a:noFill/>
              </a:ln>
              <a:effectLst/>
            </c:spPr>
          </c:dPt>
          <c:dPt>
            <c:idx val="4"/>
            <c:bubble3D val="0"/>
            <c:spPr>
              <a:solidFill>
                <a:schemeClr val="accent5"/>
              </a:solidFill>
              <a:ln w="19050">
                <a:no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Pivot!$F$3:$F$8</c:f>
              <c:strCache>
                <c:ptCount val="5"/>
                <c:pt idx="0">
                  <c:v>Accessories</c:v>
                </c:pt>
                <c:pt idx="1">
                  <c:v>Electronics</c:v>
                </c:pt>
                <c:pt idx="2">
                  <c:v>Fashion</c:v>
                </c:pt>
                <c:pt idx="3">
                  <c:v>Footwear</c:v>
                </c:pt>
                <c:pt idx="4">
                  <c:v>(blank)</c:v>
                </c:pt>
              </c:strCache>
            </c:strRef>
          </c:cat>
          <c:val>
            <c:numRef>
              <c:f>Pivot!$G$3:$G$8</c:f>
              <c:numCache>
                <c:formatCode>General</c:formatCode>
                <c:ptCount val="5"/>
                <c:pt idx="0">
                  <c:v>25488</c:v>
                </c:pt>
                <c:pt idx="1">
                  <c:v>82007</c:v>
                </c:pt>
                <c:pt idx="2">
                  <c:v>54414</c:v>
                </c:pt>
                <c:pt idx="3">
                  <c:v>18145</c:v>
                </c:pt>
              </c:numCache>
            </c:numRef>
          </c:val>
          <c:extLst>
            <c:ext xmlns:c16="http://schemas.microsoft.com/office/drawing/2014/chart" uri="{C3380CC4-5D6E-409C-BE32-E72D297353CC}">
              <c16:uniqueId val="{00000000-87EF-40BC-801F-8135DAABE634}"/>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Pivot!$M$2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Pivot!$L$3:$L$8</c:f>
              <c:strCache>
                <c:ptCount val="5"/>
                <c:pt idx="0">
                  <c:v>Accessories</c:v>
                </c:pt>
                <c:pt idx="1">
                  <c:v>Electronics</c:v>
                </c:pt>
                <c:pt idx="2">
                  <c:v>Fashion</c:v>
                </c:pt>
                <c:pt idx="3">
                  <c:v>Footwear</c:v>
                </c:pt>
                <c:pt idx="4">
                  <c:v>(blank)</c:v>
                </c:pt>
              </c:strCache>
            </c:strRef>
          </c:cat>
          <c:val>
            <c:numRef>
              <c:f>Pivot!$M$3:$M$8</c:f>
              <c:numCache>
                <c:formatCode>General</c:formatCode>
                <c:ptCount val="5"/>
                <c:pt idx="0">
                  <c:v>50973</c:v>
                </c:pt>
                <c:pt idx="1">
                  <c:v>120158</c:v>
                </c:pt>
                <c:pt idx="2">
                  <c:v>76891</c:v>
                </c:pt>
                <c:pt idx="3">
                  <c:v>27701</c:v>
                </c:pt>
              </c:numCache>
            </c:numRef>
          </c:val>
          <c:extLst>
            <c:ext xmlns:c16="http://schemas.microsoft.com/office/drawing/2014/chart" uri="{C3380CC4-5D6E-409C-BE32-E72D297353CC}">
              <c16:uniqueId val="{00000000-8A68-4003-9C7E-BE398D932982}"/>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c:f>
              <c:strCache>
                <c:ptCount val="1"/>
                <c:pt idx="0">
                  <c:v>Total</c:v>
                </c:pt>
              </c:strCache>
            </c:strRef>
          </c:tx>
          <c:spPr>
            <a:solidFill>
              <a:schemeClr val="accent1"/>
            </a:solidFill>
            <a:ln>
              <a:noFill/>
            </a:ln>
            <a:effectLst/>
          </c:spPr>
          <c:invertIfNegative val="0"/>
          <c:cat>
            <c:strRef>
              <c:f>Pivot!$A$17:$A$26</c:f>
              <c:strCache>
                <c:ptCount val="9"/>
                <c:pt idx="0">
                  <c:v>Backpack</c:v>
                </c:pt>
                <c:pt idx="1">
                  <c:v>Bluetooth Headset</c:v>
                </c:pt>
                <c:pt idx="2">
                  <c:v>Jeans</c:v>
                </c:pt>
                <c:pt idx="3">
                  <c:v>Smart Watch</c:v>
                </c:pt>
                <c:pt idx="4">
                  <c:v>Sports Shoes</c:v>
                </c:pt>
                <c:pt idx="5">
                  <c:v>Sunglasses</c:v>
                </c:pt>
                <c:pt idx="6">
                  <c:v>T-Shirt</c:v>
                </c:pt>
                <c:pt idx="7">
                  <c:v>Wireless Mouse</c:v>
                </c:pt>
                <c:pt idx="8">
                  <c:v>(blank)</c:v>
                </c:pt>
              </c:strCache>
            </c:strRef>
          </c:cat>
          <c:val>
            <c:numRef>
              <c:f>Pivot!$B$17:$B$26</c:f>
              <c:numCache>
                <c:formatCode>General</c:formatCode>
                <c:ptCount val="9"/>
                <c:pt idx="0">
                  <c:v>6435</c:v>
                </c:pt>
                <c:pt idx="1">
                  <c:v>17136</c:v>
                </c:pt>
                <c:pt idx="2">
                  <c:v>27492</c:v>
                </c:pt>
                <c:pt idx="3">
                  <c:v>18820</c:v>
                </c:pt>
                <c:pt idx="4">
                  <c:v>18145</c:v>
                </c:pt>
                <c:pt idx="5">
                  <c:v>19053</c:v>
                </c:pt>
                <c:pt idx="6">
                  <c:v>26922</c:v>
                </c:pt>
                <c:pt idx="7">
                  <c:v>46051</c:v>
                </c:pt>
              </c:numCache>
            </c:numRef>
          </c:val>
          <c:extLst>
            <c:ext xmlns:c16="http://schemas.microsoft.com/office/drawing/2014/chart" uri="{C3380CC4-5D6E-409C-BE32-E72D297353CC}">
              <c16:uniqueId val="{00000000-A329-43E6-A125-D21A04CAE3B0}"/>
            </c:ext>
          </c:extLst>
        </c:ser>
        <c:dLbls>
          <c:showLegendKey val="0"/>
          <c:showVal val="0"/>
          <c:showCatName val="0"/>
          <c:showSerName val="0"/>
          <c:showPercent val="0"/>
          <c:showBubbleSize val="0"/>
        </c:dLbls>
        <c:gapWidth val="219"/>
        <c:overlap val="-27"/>
        <c:axId val="1141541056"/>
        <c:axId val="1141556032"/>
      </c:barChart>
      <c:catAx>
        <c:axId val="114154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56032"/>
        <c:crosses val="autoZero"/>
        <c:auto val="1"/>
        <c:lblAlgn val="ctr"/>
        <c:lblOffset val="100"/>
        <c:noMultiLvlLbl val="0"/>
      </c:catAx>
      <c:valAx>
        <c:axId val="114155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4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Pivot!$E$16</c:f>
              <c:strCache>
                <c:ptCount val="1"/>
                <c:pt idx="0">
                  <c:v>Total</c:v>
                </c:pt>
              </c:strCache>
            </c:strRef>
          </c:tx>
          <c:spPr>
            <a:solidFill>
              <a:schemeClr val="accent1"/>
            </a:solidFill>
            <a:ln>
              <a:noFill/>
            </a:ln>
            <a:effectLst/>
          </c:spPr>
          <c:invertIfNegative val="0"/>
          <c:cat>
            <c:strRef>
              <c:f>Pivot!$D$17:$D$30</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Pivot!$E$17:$E$30</c:f>
              <c:numCache>
                <c:formatCode>General</c:formatCode>
                <c:ptCount val="13"/>
                <c:pt idx="0">
                  <c:v>33133</c:v>
                </c:pt>
                <c:pt idx="1">
                  <c:v>9321</c:v>
                </c:pt>
                <c:pt idx="2">
                  <c:v>7572</c:v>
                </c:pt>
                <c:pt idx="3">
                  <c:v>13752</c:v>
                </c:pt>
                <c:pt idx="4">
                  <c:v>11450</c:v>
                </c:pt>
                <c:pt idx="5">
                  <c:v>19222</c:v>
                </c:pt>
                <c:pt idx="6">
                  <c:v>8849</c:v>
                </c:pt>
                <c:pt idx="7">
                  <c:v>19472</c:v>
                </c:pt>
                <c:pt idx="8">
                  <c:v>10155</c:v>
                </c:pt>
                <c:pt idx="9">
                  <c:v>15510</c:v>
                </c:pt>
                <c:pt idx="10">
                  <c:v>8419</c:v>
                </c:pt>
                <c:pt idx="11">
                  <c:v>23199</c:v>
                </c:pt>
              </c:numCache>
            </c:numRef>
          </c:val>
          <c:extLst>
            <c:ext xmlns:c16="http://schemas.microsoft.com/office/drawing/2014/chart" uri="{C3380CC4-5D6E-409C-BE32-E72D297353CC}">
              <c16:uniqueId val="{00000000-BCD0-477B-A105-E646DFEEAD38}"/>
            </c:ext>
          </c:extLst>
        </c:ser>
        <c:dLbls>
          <c:showLegendKey val="0"/>
          <c:showVal val="0"/>
          <c:showCatName val="0"/>
          <c:showSerName val="0"/>
          <c:showPercent val="0"/>
          <c:showBubbleSize val="0"/>
        </c:dLbls>
        <c:gapWidth val="219"/>
        <c:overlap val="-27"/>
        <c:axId val="890046032"/>
        <c:axId val="890045616"/>
      </c:barChart>
      <c:catAx>
        <c:axId val="89004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045616"/>
        <c:crosses val="autoZero"/>
        <c:auto val="1"/>
        <c:lblAlgn val="ctr"/>
        <c:lblOffset val="100"/>
        <c:noMultiLvlLbl val="0"/>
      </c:catAx>
      <c:valAx>
        <c:axId val="89004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04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Dashboard.xlsx]Pivot!PivotTable3</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Pivot!$J$2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Pivot!$I$3:$I$8</c:f>
              <c:strCache>
                <c:ptCount val="5"/>
                <c:pt idx="0">
                  <c:v>Accessories</c:v>
                </c:pt>
                <c:pt idx="1">
                  <c:v>Electronics</c:v>
                </c:pt>
                <c:pt idx="2">
                  <c:v>Fashion</c:v>
                </c:pt>
                <c:pt idx="3">
                  <c:v>Footwear</c:v>
                </c:pt>
                <c:pt idx="4">
                  <c:v>(blank)</c:v>
                </c:pt>
              </c:strCache>
            </c:strRef>
          </c:cat>
          <c:val>
            <c:numRef>
              <c:f>Pivot!$J$3:$J$8</c:f>
              <c:numCache>
                <c:formatCode>General</c:formatCode>
                <c:ptCount val="5"/>
                <c:pt idx="0">
                  <c:v>13699</c:v>
                </c:pt>
                <c:pt idx="1">
                  <c:v>46835</c:v>
                </c:pt>
                <c:pt idx="2">
                  <c:v>31183</c:v>
                </c:pt>
                <c:pt idx="3">
                  <c:v>10491</c:v>
                </c:pt>
              </c:numCache>
            </c:numRef>
          </c:val>
          <c:extLst>
            <c:ext xmlns:c16="http://schemas.microsoft.com/office/drawing/2014/chart" uri="{C3380CC4-5D6E-409C-BE32-E72D297353CC}">
              <c16:uniqueId val="{00000000-E3B2-4B1D-9437-929C0BA8AD06}"/>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Dashboard.xlsx]Pivot!PivotTable1</c:name>
    <c:fmtId val="4"/>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w="19050">
            <a:noFill/>
          </a:ln>
          <a:effectLst/>
        </c:spPr>
      </c:pivotFmt>
      <c:pivotFmt>
        <c:idx val="8"/>
        <c:spPr>
          <a:solidFill>
            <a:schemeClr val="accent2">
              <a:lumMod val="75000"/>
            </a:schemeClr>
          </a:solidFill>
          <a:ln w="19050">
            <a:noFill/>
          </a:ln>
          <a:effectLst/>
        </c:spPr>
      </c:pivotFmt>
      <c:pivotFmt>
        <c:idx val="9"/>
        <c:spPr>
          <a:solidFill>
            <a:schemeClr val="accent1"/>
          </a:solidFill>
          <a:ln w="19050">
            <a:noFill/>
          </a:ln>
          <a:effectLst/>
        </c:spPr>
      </c:pivotFmt>
      <c:pivotFmt>
        <c:idx val="10"/>
        <c:spPr>
          <a:solidFill>
            <a:schemeClr val="accent2"/>
          </a:solidFill>
          <a:ln w="19050">
            <a:noFill/>
          </a:ln>
          <a:effectLst/>
        </c:spPr>
      </c:pivotFmt>
    </c:pivotFmts>
    <c:plotArea>
      <c:layout>
        <c:manualLayout>
          <c:layoutTarget val="inner"/>
          <c:xMode val="edge"/>
          <c:yMode val="edge"/>
          <c:x val="0.28277725284339456"/>
          <c:y val="0.19830174006027024"/>
          <c:w val="0.54111216097987747"/>
          <c:h val="0.75154466802760767"/>
        </c:manualLayout>
      </c:layout>
      <c:doughnutChart>
        <c:varyColors val="1"/>
        <c:ser>
          <c:idx val="0"/>
          <c:order val="0"/>
          <c:tx>
            <c:strRef>
              <c:f>Pivot!$D$2</c:f>
              <c:strCache>
                <c:ptCount val="1"/>
                <c:pt idx="0">
                  <c:v>Total</c:v>
                </c:pt>
              </c:strCache>
            </c:strRef>
          </c:tx>
          <c:spPr>
            <a:solidFill>
              <a:schemeClr val="accent2"/>
            </a:solidFill>
            <a:ln>
              <a:noFill/>
            </a:ln>
          </c:spPr>
          <c:dPt>
            <c:idx val="0"/>
            <c:bubble3D val="0"/>
            <c:spPr>
              <a:solidFill>
                <a:schemeClr val="accent2"/>
              </a:solidFill>
              <a:ln w="19050">
                <a:noFill/>
              </a:ln>
              <a:effectLst/>
            </c:spPr>
            <c:extLst>
              <c:ext xmlns:c16="http://schemas.microsoft.com/office/drawing/2014/chart" uri="{C3380CC4-5D6E-409C-BE32-E72D297353CC}">
                <c16:uniqueId val="{00000001-3D47-47CC-BD95-38E95D21FB98}"/>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3D47-47CC-BD95-38E95D21FB98}"/>
              </c:ext>
            </c:extLst>
          </c:dPt>
          <c:dPt>
            <c:idx val="2"/>
            <c:bubble3D val="0"/>
            <c:spPr>
              <a:solidFill>
                <a:schemeClr val="accent3"/>
              </a:solidFill>
              <a:ln w="19050">
                <a:noFill/>
              </a:ln>
              <a:effectLst/>
            </c:spPr>
            <c:extLst>
              <c:ext xmlns:c16="http://schemas.microsoft.com/office/drawing/2014/chart" uri="{C3380CC4-5D6E-409C-BE32-E72D297353CC}">
                <c16:uniqueId val="{00000005-3D47-47CC-BD95-38E95D21FB98}"/>
              </c:ext>
            </c:extLst>
          </c:dPt>
          <c:dPt>
            <c:idx val="3"/>
            <c:bubble3D val="0"/>
            <c:spPr>
              <a:solidFill>
                <a:schemeClr val="accent2"/>
              </a:solidFill>
              <a:ln w="19050">
                <a:noFill/>
              </a:ln>
              <a:effectLst/>
            </c:spPr>
            <c:extLst>
              <c:ext xmlns:c16="http://schemas.microsoft.com/office/drawing/2014/chart" uri="{C3380CC4-5D6E-409C-BE32-E72D297353CC}">
                <c16:uniqueId val="{00000007-3D47-47CC-BD95-38E95D21FB98}"/>
              </c:ext>
            </c:extLst>
          </c:dPt>
          <c:dPt>
            <c:idx val="4"/>
            <c:bubble3D val="0"/>
            <c:spPr>
              <a:solidFill>
                <a:schemeClr val="accent2"/>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Pivot!$C$3:$C$8</c:f>
              <c:strCache>
                <c:ptCount val="5"/>
                <c:pt idx="0">
                  <c:v>Accessories</c:v>
                </c:pt>
                <c:pt idx="1">
                  <c:v>Electronics</c:v>
                </c:pt>
                <c:pt idx="2">
                  <c:v>Fashion</c:v>
                </c:pt>
                <c:pt idx="3">
                  <c:v>Footwear</c:v>
                </c:pt>
                <c:pt idx="4">
                  <c:v>(blank)</c:v>
                </c:pt>
              </c:strCache>
            </c:strRef>
          </c:cat>
          <c:val>
            <c:numRef>
              <c:f>Pivot!$D$3:$D$8</c:f>
              <c:numCache>
                <c:formatCode>General</c:formatCode>
                <c:ptCount val="5"/>
                <c:pt idx="0">
                  <c:v>66</c:v>
                </c:pt>
                <c:pt idx="1">
                  <c:v>138</c:v>
                </c:pt>
                <c:pt idx="2">
                  <c:v>84</c:v>
                </c:pt>
                <c:pt idx="3">
                  <c:v>35</c:v>
                </c:pt>
              </c:numCache>
            </c:numRef>
          </c:val>
          <c:extLst>
            <c:ext xmlns:c16="http://schemas.microsoft.com/office/drawing/2014/chart" uri="{C3380CC4-5D6E-409C-BE32-E72D297353CC}">
              <c16:uniqueId val="{00000008-3D47-47CC-BD95-38E95D21FB98}"/>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Dashboard.xlsx]Pivot!PivotTable2</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2"/>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olidFill>
          <a:ln w="19050">
            <a:noFill/>
          </a:ln>
          <a:effectLst/>
        </c:spPr>
      </c:pivotFmt>
      <c:pivotFmt>
        <c:idx val="8"/>
        <c:spPr>
          <a:solidFill>
            <a:schemeClr val="accent2">
              <a:lumMod val="75000"/>
            </a:schemeClr>
          </a:solidFill>
          <a:ln w="19050">
            <a:noFill/>
          </a:ln>
          <a:effectLst/>
        </c:spPr>
      </c:pivotFmt>
      <c:pivotFmt>
        <c:idx val="9"/>
        <c:spPr>
          <a:solidFill>
            <a:schemeClr val="accent1"/>
          </a:solidFill>
          <a:ln w="19050">
            <a:noFill/>
          </a:ln>
          <a:effectLst/>
        </c:spPr>
      </c:pivotFmt>
      <c:pivotFmt>
        <c:idx val="10"/>
        <c:spPr>
          <a:solidFill>
            <a:schemeClr val="accent2"/>
          </a:solidFill>
          <a:ln w="19050">
            <a:noFill/>
          </a:ln>
          <a:effectLst/>
        </c:spPr>
      </c:pivotFmt>
    </c:pivotFmts>
    <c:plotArea>
      <c:layout>
        <c:manualLayout>
          <c:layoutTarget val="inner"/>
          <c:xMode val="edge"/>
          <c:yMode val="edge"/>
          <c:x val="0.1836583952954001"/>
          <c:y val="7.5197600299962489E-2"/>
          <c:w val="0.53812137665242521"/>
          <c:h val="0.72262067241594796"/>
        </c:manualLayout>
      </c:layout>
      <c:doughnutChart>
        <c:varyColors val="1"/>
        <c:ser>
          <c:idx val="0"/>
          <c:order val="0"/>
          <c:tx>
            <c:strRef>
              <c:f>Pivot!$G$2</c:f>
              <c:strCache>
                <c:ptCount val="1"/>
                <c:pt idx="0">
                  <c:v>Total</c:v>
                </c:pt>
              </c:strCache>
            </c:strRef>
          </c:tx>
          <c:spPr>
            <a:solidFill>
              <a:schemeClr val="accent2"/>
            </a:solidFill>
            <a:ln>
              <a:noFill/>
            </a:ln>
          </c:spPr>
          <c:dPt>
            <c:idx val="0"/>
            <c:bubble3D val="0"/>
            <c:spPr>
              <a:solidFill>
                <a:schemeClr val="accent2"/>
              </a:solidFill>
              <a:ln w="19050">
                <a:noFill/>
              </a:ln>
              <a:effectLst/>
            </c:spPr>
            <c:extLst>
              <c:ext xmlns:c16="http://schemas.microsoft.com/office/drawing/2014/chart" uri="{C3380CC4-5D6E-409C-BE32-E72D297353CC}">
                <c16:uniqueId val="{00000001-D58A-421C-BB7D-124BC4358E13}"/>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D58A-421C-BB7D-124BC4358E13}"/>
              </c:ext>
            </c:extLst>
          </c:dPt>
          <c:dPt>
            <c:idx val="2"/>
            <c:bubble3D val="0"/>
            <c:spPr>
              <a:solidFill>
                <a:schemeClr val="accent3"/>
              </a:solidFill>
              <a:ln w="19050">
                <a:noFill/>
              </a:ln>
              <a:effectLst/>
            </c:spPr>
            <c:extLst>
              <c:ext xmlns:c16="http://schemas.microsoft.com/office/drawing/2014/chart" uri="{C3380CC4-5D6E-409C-BE32-E72D297353CC}">
                <c16:uniqueId val="{00000005-D58A-421C-BB7D-124BC4358E13}"/>
              </c:ext>
            </c:extLst>
          </c:dPt>
          <c:dPt>
            <c:idx val="3"/>
            <c:bubble3D val="0"/>
            <c:spPr>
              <a:solidFill>
                <a:schemeClr val="accent2"/>
              </a:solidFill>
              <a:ln w="19050">
                <a:noFill/>
              </a:ln>
              <a:effectLst/>
            </c:spPr>
            <c:extLst>
              <c:ext xmlns:c16="http://schemas.microsoft.com/office/drawing/2014/chart" uri="{C3380CC4-5D6E-409C-BE32-E72D297353CC}">
                <c16:uniqueId val="{00000007-D58A-421C-BB7D-124BC4358E13}"/>
              </c:ext>
            </c:extLst>
          </c:dPt>
          <c:dPt>
            <c:idx val="4"/>
            <c:bubble3D val="0"/>
            <c:spPr>
              <a:solidFill>
                <a:schemeClr val="accent2"/>
              </a:solidFill>
              <a:ln w="19050">
                <a:no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Pivot!$F$3:$F$8</c:f>
              <c:strCache>
                <c:ptCount val="5"/>
                <c:pt idx="0">
                  <c:v>Accessories</c:v>
                </c:pt>
                <c:pt idx="1">
                  <c:v>Electronics</c:v>
                </c:pt>
                <c:pt idx="2">
                  <c:v>Fashion</c:v>
                </c:pt>
                <c:pt idx="3">
                  <c:v>Footwear</c:v>
                </c:pt>
                <c:pt idx="4">
                  <c:v>(blank)</c:v>
                </c:pt>
              </c:strCache>
            </c:strRef>
          </c:cat>
          <c:val>
            <c:numRef>
              <c:f>Pivot!$G$3:$G$8</c:f>
              <c:numCache>
                <c:formatCode>General</c:formatCode>
                <c:ptCount val="5"/>
                <c:pt idx="0">
                  <c:v>25488</c:v>
                </c:pt>
                <c:pt idx="1">
                  <c:v>82007</c:v>
                </c:pt>
                <c:pt idx="2">
                  <c:v>54414</c:v>
                </c:pt>
                <c:pt idx="3">
                  <c:v>18145</c:v>
                </c:pt>
              </c:numCache>
            </c:numRef>
          </c:val>
          <c:extLst>
            <c:ext xmlns:c16="http://schemas.microsoft.com/office/drawing/2014/chart" uri="{C3380CC4-5D6E-409C-BE32-E72D297353CC}">
              <c16:uniqueId val="{00000008-D58A-421C-BB7D-124BC4358E13}"/>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w="19050">
            <a:noFill/>
          </a:ln>
          <a:effectLst/>
        </c:spPr>
      </c:pivotFmt>
      <c:pivotFmt>
        <c:idx val="8"/>
        <c:spPr>
          <a:solidFill>
            <a:schemeClr val="accent2">
              <a:lumMod val="75000"/>
            </a:schemeClr>
          </a:solidFill>
          <a:ln w="19050">
            <a:noFill/>
          </a:ln>
          <a:effectLst/>
        </c:spPr>
      </c:pivotFmt>
      <c:pivotFmt>
        <c:idx val="9"/>
        <c:spPr>
          <a:solidFill>
            <a:schemeClr val="accent1"/>
          </a:solidFill>
          <a:ln w="19050">
            <a:noFill/>
          </a:ln>
          <a:effectLst/>
        </c:spPr>
      </c:pivotFmt>
      <c:pivotFmt>
        <c:idx val="10"/>
        <c:spPr>
          <a:solidFill>
            <a:schemeClr val="accent2"/>
          </a:solidFill>
          <a:ln w="19050">
            <a:noFill/>
          </a:ln>
          <a:effectLst/>
        </c:spPr>
      </c:pivotFmt>
    </c:pivotFmts>
    <c:plotArea>
      <c:layout>
        <c:manualLayout>
          <c:layoutTarget val="inner"/>
          <c:xMode val="edge"/>
          <c:yMode val="edge"/>
          <c:x val="0.2156364273087841"/>
          <c:y val="0.1821789126527443"/>
          <c:w val="0.52255805955290069"/>
          <c:h val="0.67351959102693082"/>
        </c:manualLayout>
      </c:layout>
      <c:doughnutChart>
        <c:varyColors val="1"/>
        <c:ser>
          <c:idx val="0"/>
          <c:order val="0"/>
          <c:tx>
            <c:strRef>
              <c:f>Pivot!$M$2</c:f>
              <c:strCache>
                <c:ptCount val="1"/>
                <c:pt idx="0">
                  <c:v>Total</c:v>
                </c:pt>
              </c:strCache>
            </c:strRef>
          </c:tx>
          <c:spPr>
            <a:solidFill>
              <a:schemeClr val="accent2"/>
            </a:solidFill>
            <a:ln>
              <a:noFill/>
            </a:ln>
          </c:spPr>
          <c:dPt>
            <c:idx val="0"/>
            <c:bubble3D val="0"/>
            <c:spPr>
              <a:solidFill>
                <a:schemeClr val="accent2"/>
              </a:solidFill>
              <a:ln w="19050">
                <a:noFill/>
              </a:ln>
              <a:effectLst/>
            </c:spPr>
            <c:extLst>
              <c:ext xmlns:c16="http://schemas.microsoft.com/office/drawing/2014/chart" uri="{C3380CC4-5D6E-409C-BE32-E72D297353CC}">
                <c16:uniqueId val="{00000001-F70D-4CBF-9550-E9BB123913B0}"/>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F70D-4CBF-9550-E9BB123913B0}"/>
              </c:ext>
            </c:extLst>
          </c:dPt>
          <c:dPt>
            <c:idx val="2"/>
            <c:bubble3D val="0"/>
            <c:spPr>
              <a:solidFill>
                <a:schemeClr val="accent3"/>
              </a:solidFill>
              <a:ln w="19050">
                <a:noFill/>
              </a:ln>
              <a:effectLst/>
            </c:spPr>
            <c:extLst>
              <c:ext xmlns:c16="http://schemas.microsoft.com/office/drawing/2014/chart" uri="{C3380CC4-5D6E-409C-BE32-E72D297353CC}">
                <c16:uniqueId val="{00000005-F70D-4CBF-9550-E9BB123913B0}"/>
              </c:ext>
            </c:extLst>
          </c:dPt>
          <c:dPt>
            <c:idx val="3"/>
            <c:bubble3D val="0"/>
            <c:spPr>
              <a:solidFill>
                <a:schemeClr val="accent2"/>
              </a:solidFill>
              <a:ln w="19050">
                <a:noFill/>
              </a:ln>
              <a:effectLst/>
            </c:spPr>
            <c:extLst>
              <c:ext xmlns:c16="http://schemas.microsoft.com/office/drawing/2014/chart" uri="{C3380CC4-5D6E-409C-BE32-E72D297353CC}">
                <c16:uniqueId val="{00000007-F70D-4CBF-9550-E9BB123913B0}"/>
              </c:ext>
            </c:extLst>
          </c:dPt>
          <c:dPt>
            <c:idx val="4"/>
            <c:bubble3D val="0"/>
            <c:spPr>
              <a:solidFill>
                <a:schemeClr val="accent2"/>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Pivot!$L$3:$L$8</c:f>
              <c:strCache>
                <c:ptCount val="5"/>
                <c:pt idx="0">
                  <c:v>Accessories</c:v>
                </c:pt>
                <c:pt idx="1">
                  <c:v>Electronics</c:v>
                </c:pt>
                <c:pt idx="2">
                  <c:v>Fashion</c:v>
                </c:pt>
                <c:pt idx="3">
                  <c:v>Footwear</c:v>
                </c:pt>
                <c:pt idx="4">
                  <c:v>(blank)</c:v>
                </c:pt>
              </c:strCache>
            </c:strRef>
          </c:cat>
          <c:val>
            <c:numRef>
              <c:f>Pivot!$M$3:$M$8</c:f>
              <c:numCache>
                <c:formatCode>General</c:formatCode>
                <c:ptCount val="5"/>
                <c:pt idx="0">
                  <c:v>50973</c:v>
                </c:pt>
                <c:pt idx="1">
                  <c:v>120158</c:v>
                </c:pt>
                <c:pt idx="2">
                  <c:v>76891</c:v>
                </c:pt>
                <c:pt idx="3">
                  <c:v>27701</c:v>
                </c:pt>
              </c:numCache>
            </c:numRef>
          </c:val>
          <c:extLst>
            <c:ext xmlns:c16="http://schemas.microsoft.com/office/drawing/2014/chart" uri="{C3380CC4-5D6E-409C-BE32-E72D297353CC}">
              <c16:uniqueId val="{00000008-F70D-4CBF-9550-E9BB123913B0}"/>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Pivot!$A$17:$A$26</c:f>
              <c:strCache>
                <c:ptCount val="9"/>
                <c:pt idx="0">
                  <c:v>Backpack</c:v>
                </c:pt>
                <c:pt idx="1">
                  <c:v>Bluetooth Headset</c:v>
                </c:pt>
                <c:pt idx="2">
                  <c:v>Jeans</c:v>
                </c:pt>
                <c:pt idx="3">
                  <c:v>Smart Watch</c:v>
                </c:pt>
                <c:pt idx="4">
                  <c:v>Sports Shoes</c:v>
                </c:pt>
                <c:pt idx="5">
                  <c:v>Sunglasses</c:v>
                </c:pt>
                <c:pt idx="6">
                  <c:v>T-Shirt</c:v>
                </c:pt>
                <c:pt idx="7">
                  <c:v>Wireless Mouse</c:v>
                </c:pt>
                <c:pt idx="8">
                  <c:v>(blank)</c:v>
                </c:pt>
              </c:strCache>
            </c:strRef>
          </c:cat>
          <c:val>
            <c:numRef>
              <c:f>Pivot!$B$17:$B$26</c:f>
              <c:numCache>
                <c:formatCode>General</c:formatCode>
                <c:ptCount val="9"/>
                <c:pt idx="0">
                  <c:v>6435</c:v>
                </c:pt>
                <c:pt idx="1">
                  <c:v>17136</c:v>
                </c:pt>
                <c:pt idx="2">
                  <c:v>27492</c:v>
                </c:pt>
                <c:pt idx="3">
                  <c:v>18820</c:v>
                </c:pt>
                <c:pt idx="4">
                  <c:v>18145</c:v>
                </c:pt>
                <c:pt idx="5">
                  <c:v>19053</c:v>
                </c:pt>
                <c:pt idx="6">
                  <c:v>26922</c:v>
                </c:pt>
                <c:pt idx="7">
                  <c:v>46051</c:v>
                </c:pt>
              </c:numCache>
            </c:numRef>
          </c:val>
          <c:extLst>
            <c:ext xmlns:c16="http://schemas.microsoft.com/office/drawing/2014/chart" uri="{C3380CC4-5D6E-409C-BE32-E72D297353CC}">
              <c16:uniqueId val="{00000000-5BA0-417C-99D1-0C2651BE6C5A}"/>
            </c:ext>
          </c:extLst>
        </c:ser>
        <c:dLbls>
          <c:dLblPos val="outEnd"/>
          <c:showLegendKey val="0"/>
          <c:showVal val="1"/>
          <c:showCatName val="0"/>
          <c:showSerName val="0"/>
          <c:showPercent val="0"/>
          <c:showBubbleSize val="0"/>
        </c:dLbls>
        <c:gapWidth val="219"/>
        <c:overlap val="-27"/>
        <c:axId val="1141541056"/>
        <c:axId val="1141556032"/>
      </c:barChart>
      <c:catAx>
        <c:axId val="1141541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556032"/>
        <c:crosses val="autoZero"/>
        <c:auto val="1"/>
        <c:lblAlgn val="ctr"/>
        <c:lblOffset val="100"/>
        <c:noMultiLvlLbl val="0"/>
      </c:catAx>
      <c:valAx>
        <c:axId val="114155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154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Pivot!$D$17:$D$30</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Pivot!$E$17:$E$30</c:f>
              <c:numCache>
                <c:formatCode>General</c:formatCode>
                <c:ptCount val="13"/>
                <c:pt idx="0">
                  <c:v>33133</c:v>
                </c:pt>
                <c:pt idx="1">
                  <c:v>9321</c:v>
                </c:pt>
                <c:pt idx="2">
                  <c:v>7572</c:v>
                </c:pt>
                <c:pt idx="3">
                  <c:v>13752</c:v>
                </c:pt>
                <c:pt idx="4">
                  <c:v>11450</c:v>
                </c:pt>
                <c:pt idx="5">
                  <c:v>19222</c:v>
                </c:pt>
                <c:pt idx="6">
                  <c:v>8849</c:v>
                </c:pt>
                <c:pt idx="7">
                  <c:v>19472</c:v>
                </c:pt>
                <c:pt idx="8">
                  <c:v>10155</c:v>
                </c:pt>
                <c:pt idx="9">
                  <c:v>15510</c:v>
                </c:pt>
                <c:pt idx="10">
                  <c:v>8419</c:v>
                </c:pt>
                <c:pt idx="11">
                  <c:v>23199</c:v>
                </c:pt>
              </c:numCache>
            </c:numRef>
          </c:val>
          <c:extLst>
            <c:ext xmlns:c16="http://schemas.microsoft.com/office/drawing/2014/chart" uri="{C3380CC4-5D6E-409C-BE32-E72D297353CC}">
              <c16:uniqueId val="{00000000-3762-4070-BBCF-4AE5DB2DE4A6}"/>
            </c:ext>
          </c:extLst>
        </c:ser>
        <c:dLbls>
          <c:dLblPos val="outEnd"/>
          <c:showLegendKey val="0"/>
          <c:showVal val="1"/>
          <c:showCatName val="0"/>
          <c:showSerName val="0"/>
          <c:showPercent val="0"/>
          <c:showBubbleSize val="0"/>
        </c:dLbls>
        <c:gapWidth val="219"/>
        <c:overlap val="-27"/>
        <c:axId val="890046032"/>
        <c:axId val="890045616"/>
      </c:barChart>
      <c:catAx>
        <c:axId val="89004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0045616"/>
        <c:crosses val="autoZero"/>
        <c:auto val="1"/>
        <c:lblAlgn val="ctr"/>
        <c:lblOffset val="100"/>
        <c:noMultiLvlLbl val="0"/>
      </c:catAx>
      <c:valAx>
        <c:axId val="89004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004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Dashboard.xlsx]Pivot!PivotTable3</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2"/>
          </a:solidFill>
          <a:ln w="19050">
            <a:noFill/>
          </a:ln>
          <a:effectLst/>
        </c:spPr>
      </c:pivotFmt>
    </c:pivotFmts>
    <c:plotArea>
      <c:layout/>
      <c:doughnutChart>
        <c:varyColors val="1"/>
        <c:ser>
          <c:idx val="0"/>
          <c:order val="0"/>
          <c:tx>
            <c:strRef>
              <c:f>Pivot!$J$2</c:f>
              <c:strCache>
                <c:ptCount val="1"/>
                <c:pt idx="0">
                  <c:v>Total</c:v>
                </c:pt>
              </c:strCache>
            </c:strRef>
          </c:tx>
          <c:spPr>
            <a:solidFill>
              <a:schemeClr val="accent2"/>
            </a:solidFill>
            <a:ln>
              <a:noFill/>
            </a:ln>
          </c:spPr>
          <c:dPt>
            <c:idx val="0"/>
            <c:bubble3D val="0"/>
            <c:spPr>
              <a:solidFill>
                <a:schemeClr val="accent1"/>
              </a:solidFill>
              <a:ln w="19050">
                <a:noFill/>
              </a:ln>
              <a:effectLst/>
            </c:spPr>
            <c:extLst>
              <c:ext xmlns:c16="http://schemas.microsoft.com/office/drawing/2014/chart" uri="{C3380CC4-5D6E-409C-BE32-E72D297353CC}">
                <c16:uniqueId val="{00000001-132E-42AB-B91E-6217DE63850F}"/>
              </c:ext>
            </c:extLst>
          </c:dPt>
          <c:dPt>
            <c:idx val="1"/>
            <c:bubble3D val="0"/>
            <c:spPr>
              <a:solidFill>
                <a:schemeClr val="accent2"/>
              </a:solidFill>
              <a:ln w="19050">
                <a:noFill/>
              </a:ln>
              <a:effectLst/>
            </c:spPr>
            <c:extLst>
              <c:ext xmlns:c16="http://schemas.microsoft.com/office/drawing/2014/chart" uri="{C3380CC4-5D6E-409C-BE32-E72D297353CC}">
                <c16:uniqueId val="{00000003-132E-42AB-B91E-6217DE63850F}"/>
              </c:ext>
            </c:extLst>
          </c:dPt>
          <c:dPt>
            <c:idx val="2"/>
            <c:bubble3D val="0"/>
            <c:spPr>
              <a:solidFill>
                <a:schemeClr val="accent3"/>
              </a:solidFill>
              <a:ln w="19050">
                <a:noFill/>
              </a:ln>
              <a:effectLst/>
            </c:spPr>
            <c:extLst>
              <c:ext xmlns:c16="http://schemas.microsoft.com/office/drawing/2014/chart" uri="{C3380CC4-5D6E-409C-BE32-E72D297353CC}">
                <c16:uniqueId val="{00000005-132E-42AB-B91E-6217DE63850F}"/>
              </c:ext>
            </c:extLst>
          </c:dPt>
          <c:dPt>
            <c:idx val="3"/>
            <c:bubble3D val="0"/>
            <c:spPr>
              <a:solidFill>
                <a:schemeClr val="accent2"/>
              </a:solidFill>
              <a:ln w="19050">
                <a:noFill/>
              </a:ln>
              <a:effectLst/>
            </c:spPr>
            <c:extLst>
              <c:ext xmlns:c16="http://schemas.microsoft.com/office/drawing/2014/chart" uri="{C3380CC4-5D6E-409C-BE32-E72D297353CC}">
                <c16:uniqueId val="{00000007-132E-42AB-B91E-6217DE63850F}"/>
              </c:ext>
            </c:extLst>
          </c:dPt>
          <c:dPt>
            <c:idx val="4"/>
            <c:bubble3D val="0"/>
            <c:spPr>
              <a:solidFill>
                <a:schemeClr val="accent2"/>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Pivot!$I$3:$I$8</c:f>
              <c:strCache>
                <c:ptCount val="5"/>
                <c:pt idx="0">
                  <c:v>Accessories</c:v>
                </c:pt>
                <c:pt idx="1">
                  <c:v>Electronics</c:v>
                </c:pt>
                <c:pt idx="2">
                  <c:v>Fashion</c:v>
                </c:pt>
                <c:pt idx="3">
                  <c:v>Footwear</c:v>
                </c:pt>
                <c:pt idx="4">
                  <c:v>(blank)</c:v>
                </c:pt>
              </c:strCache>
            </c:strRef>
          </c:cat>
          <c:val>
            <c:numRef>
              <c:f>Pivot!$J$3:$J$8</c:f>
              <c:numCache>
                <c:formatCode>General</c:formatCode>
                <c:ptCount val="5"/>
                <c:pt idx="0">
                  <c:v>13699</c:v>
                </c:pt>
                <c:pt idx="1">
                  <c:v>46835</c:v>
                </c:pt>
                <c:pt idx="2">
                  <c:v>31183</c:v>
                </c:pt>
                <c:pt idx="3">
                  <c:v>10491</c:v>
                </c:pt>
              </c:numCache>
            </c:numRef>
          </c:val>
          <c:extLst>
            <c:ext xmlns:c16="http://schemas.microsoft.com/office/drawing/2014/chart" uri="{C3380CC4-5D6E-409C-BE32-E72D297353CC}">
              <c16:uniqueId val="{00000008-132E-42AB-B91E-6217DE63850F}"/>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379254B9-AF5A-4F21-9D63-357E4CDD7283}">
          <cx:tx>
            <cx:txData>
              <cx:f>_xlchart.v1.1</cx:f>
              <cx:v>Sum of Sale Price</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_xlchart.v5.7</cx:f>
        <cx:nf>_xlchart.v5.6</cx:nf>
      </cx:numDim>
    </cx:data>
  </cx:chartData>
  <cx:chart>
    <cx:plotArea>
      <cx:plotAreaRegion>
        <cx:series layoutId="regionMap" uniqueId="{C1AA57A5-02B2-4DBC-A342-14E76C146776}">
          <cx:tx>
            <cx:txData>
              <cx:f>_xlchart.v5.6</cx:f>
              <cx:v>Sum of Sale Price</cx:v>
            </cx:txData>
          </cx:tx>
          <cx:dataLabels>
            <cx:visibility seriesName="0" categoryName="1" value="0"/>
            <cx:separator>, </cx:separator>
          </cx:dataLabels>
          <cx:dataId val="0"/>
          <cx:layoutPr>
            <cx:geography cultureLanguage="en-US" cultureRegion="US" attribution="Powered by Bing">
              <cx:geoCache provider="{E9337A44-BEBE-4D9F-B70C-5C5E7DAFC167}">
                <cx:binary>7Htpb9y40u5fGcznKw93kQdnDnAptbu9O46zfhEc26EoSiK1L7/+LWcbp0+WGWNe4A5wgwCJWy2y
WMV66qnF/76d/3Vb3t+0v8xVWXf/up1//zXv+/Cv337rbvP76qY7qOxt6zv/vj+49dVv/v17e3v/
2117M9na/EYQZr/d5jdtfz//+p9/w2rm3p/625ve+vrZcN8uV/fdUPbdD55989EvN3eVrVPb9a29
7fHvv77oe5Dysr25u+/yX3+5r3vbL9dLuP/916+++usvv+0v+F+b/1KCfP1wB+8ScaAI5QJj9PEP
/vWX0tfm02OJDrgQlBNJ1Yc/9PPW5zcVvP6npfog083dXXvfdXC2D//+1+tfHQSeXv76y60f6v5B
iwYU+vuvR/Wdvfn1F9v55OODxD+c4uj8w7F/+1r///n33gegiL1PHploX2s/e/RfFtoOxU17039W
0N9gG3IgFBE4ZuRbtonxAVcxAtPxj7YRn7f+aJs/Ic+3rfLlxT17bI//UfZI78vcflbJ32ANeSAY
pQoJ8U1rxAdgCBZLjr9pjZ9K821bfHptzxLp6T/KEtc3lS1/Ob+5G/4+c2B8gLAA1JLyK8SK5QFD
MSKIx583++gOf06Ib1vh8bt7prgG6PkHgdTJTVvf9DcOQPTvCiGYHcQYMcK+A1PiAItYYQ6+860Q
8qck+rZZHr26Z5WT//uPssrVTXHT9flN/fdZBQI7l4wyKeRHuCJfuwk9kBxhJT4Hdv5564/e8qck
+rZVHr26Z5Wrf1YAObu5y5eb/wXORQ84lTjm/JNpvuZcgGBESiUo/RRJ9jjXnxfr2/bZf3/PSGf/
LNZ1dgPs+6bL+/bvhDR1wDhBknL1zVgPkIakooR9RDS15zx/UqbvmefRgfZts/t/Gta+HQcfx5mv
vvFXUxVyAIkIU5juRXx1QAWNEeDZF2N93PMjlH3KGb4vxrft8Om1ryT+X05Avp+cfEnhUgjemw+5
36P85MdPPxwP0tK9V38U/z/q6uju918ZlgTyii855cMin978qN1v3PVH791DWPv9V8giFSLgSkI9
QF4sAfCm+4cnMaQ4/CH3xFwKhRmCvWrf9jlkpuQAEfhASkqoipmAlzo/PDzC/EBgDlmPoIQIiiX7
kntf+nIxvv6ikU8//1IP1aW3dd/B24hDLAwfv/ggK6zNJGMxppRKARl9DFKE25sryPAfvv9/yLDI
uSfRvFn6QMadsNym89iJXq85e29cr4akr2JF01mNa6ulGZtaY4PwiYriyG5kXEjt6o7719UCqHE+
DujhG3VHbmkDNDa1Kz2KZ4Yq3cbZjHUZmzbXWVSU4RlvrX0VMW7Nc7SwyT9rSF12qS1s7xLP6mnU
bS0ykrJyatu0yIOSul+Fc1qMXWa1qkg1aUUqP+mFZi5OPK/NZd0b/B4Xnm2KWRCVNG5QR41roivi
8oicD24dqxTnE+NBW9y4i6kN0ylqymrUvEQdHKCdjvsecZm23I/ZeVYtsdW1tMhdSUdeF+O64O0U
oXnQTUxskUyZWPRsc9vqdW5ZccpGirukll1eJcTNpk392LEiaUyRXzMZVeKwhRuB0oW08ZpMY2GL
i44itDF2Ji9E09HTCNHFHK6dHMtdJM3kjts5DLkWphNei5ihoJdOlZ2eC8mekR67JQmIDTriPE/7
Qho9BUMu4rLzp7iV+bMZm/Cmw9Etb/u10N3s/JA6VfGNUFPXaz8IqRUr7StYTRya0bSXGY+kP+Jl
mEq91uUqDwUy7MotYjVntcmmLBHlwJSeo452R/WyRvPh5IUvdCYQX89YH7fRsYlxEAmaVhbtWq6K
V61cp2E7BJONZ1k7Lyrh1nYklRPhl/U84ymxMuvqU4l67/Soyr7Wfgx4x3vFqqRbrFNHiLk8nLi5
sk5LQYdxw+up3pFZ9n2KqSd+Y1YC/+9Huiy6o7nNDhfnxvIILb5bNnmlCN7kcRBEMxPm6y7Po3JX
zJS9CyJrXlS5R4kwbXvnuwzPx3DrWKFRlS3tZmz7fk459krnLRqOTNn1RjdrvLYJiuRY6Uhm4rgo
EH0XFB7mXY4HWW3y2XRj2igCFlta44/p1IdR29C6UyiO5c9aG1/GtRMvum6Y66TPmujIDDg/ltMU
I93hKrySdYGvoiHv3q5qESeKu93oSd9oB1uT51k78lz70vbk2rYmFhoj55tkQGF5bmu63lV5tZ6N
HLVTUg4+xxftYOJGz96RaUPqNYy7FZnqTBWq7Xcz865JUTFWb/pobS5UEaMmbVVYQpoh5XwSccqu
myUPTCNSiUbLSNJ+41zNT1lf5zwNZrGxLpbI4JOBAibozlTsrA14YOmU+6XUtKjs2155Mm/ihcFt
xyZaExwWIlPf5JFmEmUvo7XMtms8uqSafX1XhmjQZZvbQ5Ox+ZUawe2arpDxFjdt9WYpDfhNUF1/
YTxvE8Yqf1KjcrzujChyXS4lYEGp5mPLGL1sFZ9bzRQtdsPoq01tcVnpAo2k2jWoYS9w5bqTbpnM
W+5IrjZr35fZMzfbeNIxzcdsq5ZmOhyIyd/NIWoWXeSSjHpFeIDrUTbXViB6NK8xs5qVtY90Liaq
WRaL8i7wvD2m7apoks1yfTlgU982ox/V4VjS2WxziDghrVxskricxg0bzXSeNz46yhihhR6NL6fn
YbJZm+R8mVmal/XYJa2qGnwsSBaORxHKYTsvFBPdrSgUqaNMuGTN4K4mHDXdq7FY4ot6JD5RsY3e
YpPF9QtZdBFKpxkcRSunUJpFnvM0hjAob6tooboE0N/ydoLrmb9abYTe9UOJN5L4YsOsaw/VkDdp
3kkRAYRXNPXYwpbM2GYnWMfBRxVVAPvO9MfNsqj62s8DZQlmYd2MrMmuqiVC12ZxoFFBpnjc1Bzb
aVOyoniGhixmekBkzLWMOYtO2EqKGzFmftwZiwZ3xmi2JtIA5CQFptUmEIuEXod2uMysM9dYAsyl
o5lxD3hhlU8xb+AmKl5HhZ6Mml6oZW1WwCtsM92B5u1mDUw8K+cmIkm51FWT2KEOIRXLCIIQnocr
25AIAsAa+zzJgxVNkkfAII6sJKwEVVixqQHNVIJjO5+43qIdXOY1OhpqbI7m2QebjMAPuh2JbJsd
9g1Xu7os7J2YVfOqHlr/LBp7W+m5seutY1HZah9zwiE+DNKnsEVfJeNQrEe4Zs7tOl6qQVu7NEtS
iZUwLeWDEmoyaDS5qrjs3LoAQWgpvZHNCoFO1nW4XrzszjwKE0uFm12nmQNoVQOk3XqMTXU+C2+v
qMzHl9Pi1bFbjKKHKIrWq6JCctJGDt145tS6XI8rkm06FQ7CkXFtE3azGOR9PLFlV1GDz7Mp5177
aPKl9qubGl1PZvWpHGOpsZ3z7IItxbzs2FAEdblIMY46muL8LKKteiP4wp8VJDppaGFnHffV1VAp
e4KLtc/TrMZ2SwHk0syM0a6wJdJymN8VoRwTGwAzCeocfcvbSpaJIat81duBvu/CmOmczf7GRSvO
E9+M7gjNk9OAMUYja4rnCyuGpJyGwqRLWxXJOBN7FTV1fIwbqOVtR1oLXRmRp2VZtDpgY2zSZEuu
h9WoUrMmJ0nccKfnOFuPo2bNWo0MEVesjCr3Nse9ORWjmxLh83U3V2hQgHE213mYKE5KEHpbGD9J
LTHpt31uppMonwxLkJj6TR3bJd7gwsbnYxO1t2PJzB2bRP4m75brCENg1aQwzCbx2PpDOweWVrlA
K1CPOBjdAha1wLxWMh6xuhfvmigPaIvrkkTHY1EcYbbwLWkz+YyRtdLcWXxdChrecpx3/pwWzfhe
yLiegBs4Ul2IPm/LNC+mSBxysrqELDJUG4Qnj3eeufmdIUbdTay240ufTbXdCo/9XcMpap9NGYnj
DSlwrI5ZhUx/ahUGNRqjhkWzMQt31JRjA/SG5ONRhkomIDo7sugS+0od1zUdnzdIrmNqXVQ9n1Tn
6ZGfRbVe0ba5Grvg/DFvm3HRVE3LsyWmNUromp/hfrY7y5cOJfnc9ts2h5DVl30Vkpjls09Ik4Gb
ABHvL+3a5keVNPK4LiK7y9RELxBj+aSrfvKbfp6HJPOh3ChUGojlwEHuWkbnF7yO880QTySNvSHA
or18GUV1tuhpQbI/knUp6pul7lXYAtCq68UW7G4YGxq0YW19MaiueTnMpUgKukz4mLqlPO2Ij8uk
bAx+RRDDLwVwtfOu52arytGw1FetqLa8EqzcIDJTPS8hNAl1gd1CgCxTCFnSJZGM6Ks+625I22R5
Mo9luWpDXHgfXNO8wpaHSGOVx1HCswEIR2SX+mVjBnM9eScDcDeZawR88fnUlDOXcJMb8nqdWJOo
Zi2n255VtWYRAzTO7GYGTn6D51Ukw5I/LxzBRxGhgPz9zKk6bijUmnZoxeN66nDplkPohA7FufUj
JamaorjQERuo3ZHQifUQ/lfFgHnxmCcI19Ic2mYIh13c0PlkWGV/3TVdzRNLDHluC4dtShiE8nxx
4apdOnMFd3/dreNKsHYSwnxar8NwaaVliepoOEFlRw9JBKzAluyeCUG6JNQtBd4oC37UFd2Sv6qa
kI+JIiHLdRVaYIQrRfgs0Ga4ZNOcRlUR9DwMdtOIfD5GlfIbikSXjN341g2TbQ6HbnVZkpdxqzTN
OT9vZtVfTVG2bg0h9nUA3R7V9dy6hIra+Z2NVCRSVzFrN0jk1CVsjKI3eS+G6LiIQq30QKv4xURH
gdK6YJgmVTv6W1TKeNYZBNpzwx6SMx93zkP0VvNzu8xZeeitKsCEfH1DbT69JSCFSIspRziRoO+Q
Mhq6LaPt/LYhpkeQjjl2YXOKroHgAsIW6whkfWjz44z6+b7KmuVQLHF51OJstbtReXYGSYPMjpsi
kHeFDzQtMaQzKZCMNU7yVQ1tsrp5fjuTJQua1FDQBytmm6psbEgUWKzXsaOu2IAz40ZPqxvfgfuK
086VfdA5RhDdR1abXZbnZUjHvDycUBNTvWS8uiAIyNAma5DFx53KM3EIGTGiqbFRAVkVpDcigSR3
3SrmyFveQwBL1n6A/JUZxIxehlI4SJSUWF60WYfZLuqpKg5tV+d3Y9PyozEf8JtqrmXa5bzduQAw
vxLaWs0XAVjjer9p696lFZem0KSCND1Z5qHwuiKie8uiJrsw8ci3Arf5y9bKUqZmCbk7zIpSPFvb
3nfHjScZSjuViUxnphYbWc2q0MNkCiCUxACv4Xk9X8ggVZ6Y3qo7q6h8TjvzIleqLTUvhNK+9hVc
3TU+pLFFW+mQPF46PGnJmvoozDZcxmOD0tAK0W4gNpflZrFDd9VmE9a0HeIltbXtbos+F/2hIqpv
d3Fflw8pe38X+nW8mNvCYzgbip3m3hgI0vOCblg/obQEO7xnjq1XYw4BHtioOGVDLp4VwTBd5dl0
5sf1xMSK97rkPixJU407x8RtNwDhccLE2pJ6OplyyJJIg7ZdUQLjHQV9ta75HVy3GXRsuR6EvStH
Wx11Ga3S0krQdwEMecbinFVROK54BwKNPlxKCMOHtm/NW+AUldcAfuI5czeIcL6xcI+A6Nc0tQuv
N5h5fuRqFJ5noUfbVo5tAsCZet/RLbZ1fDeUEd5lqGVHNLjdWktitBhckYY51IdF1dLnLcbLSbxK
9E61rD4RI5luhjZkKctcVR2qfkHzrnRemA2A5HS7DmKYdO1wk3QZl8e9a4B0NQTOnoxT1NxwJ+Sy
WUXDT5eBtjs/A6d3UKHcFkWYdiFbIN0fg7ucJF3OBWe81Xwql9NpHoEVyqlf75eicwUUjOqQcFbJ
6wWmME4XEopEdDWDnLiUyRQcSgkw+fsymttt2zcfgsnrRnUD1qvnw1knAER7UfgiCZTzbFt5ZXY9
XrZNKd227vNZYxqg+OFE6F8A3W2gQLF0IZk/5BxzMGnTcfde0lwd8davV9NSrG9wacRV7Zdh1igv
uqQhbOl0jQacWA5wCZWbLffl0URM2OYlFheDYxgONMsoIdzXQHaiih3SwWeJiXt+OpaQnw4xa15P
LTqJ8VI7DS1cflUq1u+aqp2flYhB4QjllUxc7V43JUWvM1SFtBza9nyiE96weiGHgT+Uz7opDTXD
CTAafpk3XGx4bO1xQEQ3dBl2dI7PJdC8hDUxO1k4wUCk1JoSTptNTXoOOfJoT9vORJsRgvGhUAjo
nTDVKQBVsQGXka/qqAlWm7ZpkpoSqwk210sZq3Fr0ThfCzF3h1Pne7gfauAX0sRSaFOI5Wwqo2kD
iLtoT+vycOlNc7yuJpCTGReh30A17WjJ8u5NVEh0zUXTR5CrrN2LdVTA9oyjr5q5QNu4cgisuqJd
EGD/tjb9Ju7Kwhw38wQ0ZMqndOScA89ZXfxurssbEcFBZo+hXtCv1f24xNkW8MFfNes0AR3KovOS
NnLDsulVX0BgHXBVp6bMg9/ymY9JUc5XuS/j88CzCuse0oFeqxzSG51N3J4g19ZHMWrlPerpZZQB
7e7maAVCli2Xgi1iM0f9kuCujPRD4aSYI7/N56I/EvMKtanFr+KlIBV/w12UoC6HSGIGexI3fdgu
kG9sogWI7Xk28+Xdakv6wrkZvZ/aIYJ8QPHLYbXbQvC1Pw/R4qazfAw5cOoo31VredtwTLpNRLt5
B9R7eZ/Lorp0HSe7ZhybTYuqfnmGXKbZsNSHo+xxppely4FJrdwQoMNx1CSusOuUSEhaniFa0UXz
GkPQ048Hkb4qRt8CgLbW5J9mwb78+J9rX8HfD5NJf3z4MEr2x09nn2fQfvit7b1/qMl3+196aCt8
WeuPGaiHUv6Xgai95sDHqbXvdA5++PDPtRUwwoRAVfZHnYWvJmYe6vR/vPSxrRDHBzBTwDEXULWn
D/9+aSuIA4kZzBvEGKbbJHloOHxuK8gDKWNo7An8od9AoHf3qa1AHkZHoNcAIz4UehLQbPorbYWH
JuBXTQUkSUwUY1hQxpmScNjHTQVb81CBeM3Wtvm66GZq+usBylOv87EfL+g8XQ9RG13VtO+czsH9
TqBzYDSH7NelfCrKN5Vrx5sWSipHmVPDBpIanqzA4zRmfQ/k2fJns0DgrCtkyl0xhUtjq/K+EOLd
NHQinVYVbZoC+JDwzF8GNWXXwC491N1w94p6Vt14KVwakWXUXebc5eL5lfPleFJiKJ7NVEwvaSHQ
BhVrpk2uhlQBx3ruvXo9RwUUoibjIVY280ZE0bRFQKb1DNw67brQ6mFpnqOK5pu8m72moVdXYY5c
Ogx985xVLNp0pqg2ZuqIlm3PdzZzzbZHanpFlpnvOpKV71UW6tORQvlQigrqqEvXvxugm3BdDASS
+iwTo2aCqhT6DLFNi2qOsG5Eht+6Il8SwfiwQY1UpxOepyUh6+ChYN7081taFTboUnGoPDZsRG88
JMwaZWEqoMODW6+hbHzG+7HgeomdfCmjsjvJG4DLhEpANr0qD1zh/0PCo2HVr/qpn2dOPng3hjmH
7/cZv+rifvn+RyBQ8QHDGJyaQ2EWZo2E+gwEQh5gQAhwPujkS4LoH0BA+cGHARgElU+qGH949AkI
xEEsEHwoY8AoLJT6S0DAvsKBiEA/kcVQd9nz/y6bM+8s5N45ThW/6EaYjvly/k+h43Hf8tvrEgWH
fYwrithRdOUcb3oOqKHXdVle5UTMH2dkP47I/oXlodn+ePkijtwyzXW8ydumba8mASXBazOv/v2P
xX/oqf7Rc/2sFqJgTO/x+qpanRxcJjaK8G59FnClkM5pwbFG0B6FzhNt+uzwx5t9T1cPQjxq7HYC
iWJ6SOHmjkqqJaIGCsGLkG9/vP6D0N86zEMMeLR+rBroF0DHaTPgwM4wnhgUy1CBgMzLvp63UbyK
VldLE65+vOH3DvTw+aMNg0RhjB82HEsVz8c+H7IhYd0A7OXHGzzcom+dCJzy8QYSWA/qB8o3k+vi
6VhAO5kkwXUkP+UuL8gZHtzgoKPU1AuUiUqGm0NU52MLoys/ut34wT2+JcBDr/7xCeOqc7xb+GYw
0GVPILhvY4qhdkYbqCk3ZoJO4rDE0amfDHabgXgvax0ZSSqYmv2RCN/TMQDDYwlKs1RjySdQgSQ8
oa1/H/PJ/uR831t8DxU8eOokl55vgHLGr5FfvM6gD3HxJNHlHjaUsrCioy3fOGrtPYLfazitI+uG
5GnL72EDdB54aKCStin7eHyJp4bpOVvjpyGP3EOGtpyKEEjDN72P1nWD5mhsUxG8j58o/h4akNlg
uZQFoIGHDkmyQP7GdNOAK6VP088eHBDo5ta+C9EWcudYXHYW5tZeVn0fvX/a+nve30k0QI2Ny+3q
cbVZDIuAblnXtT9R0NfU9Qs2yz3nV96xcoDq4NZHcq0OpxaHcVNOC9R4G5sz9cRt9lycMp/JKUTx
tu8H0u9q4Wu0WWtczptg+2l+mqs9JAGP/bjxY5PRuZLbQNx67dolv6hjoa5/bIvv6WrPkSeodeAJ
aAdUOma7Kbs2pqeGLb555bh0809U9R24iPccOpcmOBkHuW1LthxF1YouFFDTT3noXw328b5DZ3ZB
oByxHeKGQLGnmNkbsfrwk2DyPen3PHoYYx9L+IWK7ViCBfrSVBs2RHH4SJn/svR7/jxYWi/lUsgt
60YHNoAprkh3aLHrEzfY82enIt6oGbSvcPVQs8UwULNpi3idLn98ib6noIfPHwW7mCwURpBmsVVQ
f3gZy667nK2BIYkfL/+giG/E0njPnys1TryAQZZtVXYwLBBXVTO8pM2q0HEf5Sp+BrN0VBz9eLPv
nWXPq2NojcMIII+3gbLe7vqVzjAK5KoJPc2f4z1/nqE5L3qYEdu6zgR21FVklLoYWPuz2Pxw67+l
rj2XXkxhUDXBfYLWc4A5O0Pj+LKK1lEcmz6r3GY2ZKlfl5Wkb4faTPVPNPc9zvOQvzy+BuUMAyV+
nQB3S1mG4zzqshiYvVNA62Q/FazXdQ8doMTmIlSHbl5NnAo2Uf98RNCdepqCxR4aLJmIYukiKCPH
0ZBSO8VbGZf0J5cRP9jpG+oVe2jAR2gNN6RRW4rW1m9WnI39hmfrWu6CovFyYbrKvw8Rm6odW2XN
z2dKSX1GYimL19Ce5vwnonznqoo94IBpMR78ZNk2xFlHE7Gq+zDP0I56kieIPdgoWyrwMhfxto3C
tDU9hqEWQ6W5e9rye6Ax4FbIAqYRtjB5JN9wCKXnHYqqp2G22MOMhhpoxkex2vISMplkwLJa9WCh
s/uTW/YdLxN7ONHZBqrxcyu3/QKDCkeStS2C0TAMHpeTHEE9yQ6h0mQVwdyGau3IE82yhx90qqEp
QlqxFTKrBh0a0lXQdGTRE8OF2MOPFUrwzSDaeDNADXoD804mXYWP0ieZne+BhMgUqotmXrfdYPrt
WkPfXrSh+AkGfccl+J7vw4hyHs0QGrYFsTCn2+MihUYWedqlevjdvMcAB1mPl9j6dUsgb4SeEn5V
wxzG0+z6UAZ+vDgW0AiaSwNd/Xjpz6Coj4ALNDkunrj+njvnxdAH2i7rNsoqdUTG2aUZlWz7NLPu
eTMNIw+9g9X7jLBkonGnuwrbJ8pOv9aNrGFOa4zBrFFP8sTBULAWDmZDnib7nisXKGrRlHXrtsG2
POxUbWAsj62HP179Qb/fiBd8z1/rjOfriqGsPEX8HtJONx6y3oV6208wjfbjPb537fdclo7xWBcu
m7YUHPdK9TCZCV1n97R0nO25bF8DFZpWMW094+JIKj6kxVI/EW7YnsviviozuRbD1nQlO7FlFZ+F
uXyi6HseC4Ea+gGY9tvGFxlOWg5DOnE+u/xpaMb2nJZnpoN5QSjzhNrOx66HIbUhy8qnORXbc1mo
j0YjHor+EMa4p+45nZAsL3grRf60e8P2vBamnsbGjDCYPZthTdz/cPZlS3Kj0LZfpAgEEpJepcxU
za6yy1O/KGx3twZAAwhNX39W9r03wsVxt+Py2gNJITZs9l7DGH/dM3QTvTZl5ARt3AUiStNqOU+y
ARLEWPS0M7R9/EZ3gpaNXUSrLl2w8sFXTZHf9dlWeX5WJ2bFeOggMPz/Tj2iE83jhftO3Y3WOK1s
2oTLOVtRNKbX0YGx8hydOdEqyDJW0mD0rQOux6bC5sCmdX7LfiWx/XxLNVGcDqCtY/SI/jW1kbzU
be1Z2WJOtILzIdO2xuDZYVUJhILGy4tvfrkBc2J1m0FPkLsAn2Su1nwLF5qHYzX7XVHMiVXVjLQf
GEF/czn6fG3av4BTCT1X3YlTA0TXODSrPSvRRDmagV+DBd1Gr0hiTpySKtZsbwIgMibSn8zWfjP2
MJ6D07f7ZTLZ1iETtmdgyQDlAB47t5omnqM7cZqwLgAsL8PUMxs+GrRHnqukln4tKubE6WYjoAsx
cnmgi2pAlUp5fArmIDV+e4Y6oUqB5FSA6SzlDiiszgM2xuW40vmH14elTqyCykD1sCncrJWRd1ln
whPwWvvZb3QnWK2uRlbvsS3njP0RdvTFROzFb2g3Us3eqX0P5rJtgiccj193mnjWCq/AiZ8PsKwF
TjXsk7kEbDU92SZ+HUQ1eH5QJ057YQKdpdaWQTu3heyShwSAQ7/NTp04RVt4HQ2gaUBQbH+2O+Dd
sbr3W3AnStN2rQPc13uJYUEaPKhpOJiIrPY7eqkTp0sd20ZEwNGDiU6+RMD6tblpj9Av06BOoNpJ
UiKrwQJipo/TsCXfm3as/JY9dIK0StspWVpty3jXYNUoQOmM+F3n9boxfvE4CJ0QzXoetWOg5hJs
4uwxNXX4KINq/Oz1WUMnROlMZw3yIbZjA/w5U+uXJG39PmnoxOgRDVlXNcKWOl5YHqbbVzmlz37z
dmI0WqNtbRnGDjrzCnzbYxyZR7+hnQgd1qqqZwb4IamCoAi66qE9iGd94AoF+flsCcNxTI6ABmdO
snegGH9N9S79jpbQCdGgQZ6uB6yJbPqXAejjSjV+J/k/lc6fyvfRuO5sQwH/PBzLjV7pfRT73aD/
VIp/Gnnc45kPI952XNUP6bCVva782qzECctWzltjLSY9KqBNbdEln7x2CHFCUmadHg+Bjxg14rve
spf04H7nFHHi0YJTtu0rIP676cLXY59p2VlmTn4TdyKS9YCcd202lyYAlID24iarsi9+YzsRKWRr
YsgnBWcQHwBTIPwbyLSeFxtxYhIbe5okwZXctHzLYxMFJ2AiF7/AIU5QpmZJ5iheACHkHzRYhqhi
+62JE5FN3Uxg9O1zaa+08JWZMQ8n/uo3uHNjruh37XtfmXPYjDerRG8fdMfZc6c496W2lohAYvBU
xs/Mjj/aaNdeqwLtn7dnICBq+xWnaM5asecYY2928R3bCc1wbRPGQOItwZYhDxbkmLsp2rjXqoQu
pKsx0SKRz2KjxAfYw6T7KHnjlWBBsOrtqmyZjVaRIfI3ts9dQaKKDyeKDKj1OlqAFnz7A+Oqogq9
mrkEc+tbsC6f0Xz46LMVw8wJz4WBjMkZ1sXaOj5NVrTgPdLEK48IMyc8dbMkqEdvmPi2PduB3G3L
5BehQCm/XZROJSRKGmbAWmKPEoBDKJwk1HPFnQi1tQbm0i5zSUb5Amp20enGK0kJMzc+46Dfa6ZM
SWlMi1WFIAxF3d9en9MFV+3oKJhUzQZoBv61NlBISOIPfkM78QmibCVSGuhyD+WayyGZLj0Ijl5p
SugCq4Z47bMFWKESLaQDbMzhKWHmdxiD62b+34l4mDoBakdqRBOuuhyAtZG5sTq4Dxayv/dbGSc8
14DhVIwsvuiy/2mQwW0m/e43tBOeMy6eZuSDKcF0e7+N4y1Rym8fukCqpUoF72Sky2OZmvOy1vQU
yP6H37yd4GyPqDIaWgNl1oyFiPYnlf4u7byu6q8+phOaa4B68DImumzUEltIFfHuceIQuFg7iCQV
fvN3gjQW/Qa2baxL2bI/ZBN9Dkbx6jW0C5fagHiUPKk04n8xN4vRYR4ukV+rLnTRUjVt4lYziolH
4We1BFcS9vjJb+ZOhtts0yg0aUwZ0zZazwezewSdJdmIk98POHEaNTWkJlKJLbkFL62CEM7k9xaH
sOHb2wI8lAkPZgxd7dnLTNp3FeNebShIITtDp3uloDKgS1YpWkLLZ34J67X1QvqCQfB2dJosJF7A
aCwrAobOrqeSRZ7otDBxwlRtVTBvptFlv4wkJ0tymdbarzoculioWUcWOlNYchyP98tO72W8ecaQ
E57ZWkvbTbUuE5Cf8+TY7zPIMOVeu9BFOmXYJWSjQpfhsDyzcHrQZPabt4te0i26ExwE3dLw9HMb
6hcpJq9HHORs3+6TaouUqMdOlxwrk2cAoefTDp6q35o4kTlD/SPohmxC36aZCk3Fiw2yj35jO6FJ
CN5ZfUymsm5Bd8pXFCrOlgTcc2Gc8Oy6DKi0bkfcZLsqUsv5e9mSw/OLOuEJ3hWvgLWbyiPTFHzS
6Ak3qV/3PHRhSDbo0yHeBmyXIYuIwFm7CwOhpGwRXjUciFW/3TXAApOs3nqsfd2sCRjEgO1UVTT5
9RFCF260C2tTraqxTAMjJpDTR/W3zZLV89HoAo5CyApEaxaM0HDZzQnyPCB4Q3fh4rUzXcBRkmxb
ShYyllB9oJDhAYgdSiWe56MLOJolEHiG9WNpoqSe8/Cg4pvYt772O8dczNHWaq7XDWszNBCXgJjU
R6gA+N15sROzkg6rChKLde/T8QZKOiCZy6G58Vt3J2QXBvG/Ua4jqJPx8ZkMVX0DVftReC6ME7MM
52RMd3zWrK8mc0mghBXlcTVAAs9v/vRtVKEZJ4Z+XLDyzKy3Wqcfm0n61eZDF3KUCEWBMdZjmUTz
h7Y2L6uYP/jN27lW62pfmYSMUZn02R/9AImPBgJ7foviAo0mlMzTwKqxZLpL/0jQVLixAmIeXlN3
gUYzCbb9YPFQIlKznAP6kgd7kJz9RncuV70H6NFDf6SMl93mcTjeif53KKbkurq/eNC4MKOp3QCv
g+BeuXBRg/Kv+g6HDVTlIGKhslrcqHFfP1hl5C0zLOCQBoOYxCsobsn0HGWx0R+yRPEbgb7kcNOJ
HkpZiYTm3FO9TSlZ8yPqJv1xhaCdLcg+9eLbANFMyGwgsaRQy0Ot/ZyMdrNQ40GVrODoUm+3dgrS
rqTJ1kS31dCBlxwSVBO+BED27hdwr01yYsmGMVeIVh6XesoaA7Yd2MsXRel2nMyiWP/HlkRR9TxH
POi+G0jzTWV6UMhT6A1/7wkSMfEZWo1xWvQJDUUBwaDa3tThUGcPPO3BCyPTQT/QNFshbMP17dga
fZRkyNL9siq5RKdFR3V8XiBChxK2bJaoqOUI3RayZNlepLplSa6GVof3a1912a1k4RyV0KaF9EbM
xHJ7HIF60v1ColNEluXIu0pXxwcJXdrELwtx0V5qiywXlg0lj5sBVZ8gpzWUVvy2p3NesqjakUhK
6Jxw9VcViQ9V0nrO2zkrF3RiNkkx79hWJdRr76o49CsORs4pGS9ApoSoIJXgD0OZKsggxwdtN881
cTIbTWrGBZp20NGCJNImpr95p/2SvqtGxM+twA701qVPyFDa3Y5PYIO1NwObld9R5mK8Gg7Zyx5S
UGWtRfQQIX8F8t/OX732iovx0qpelmVchlKktf2koROJYn6fzn7L7qK8pr6dQRPJhjJDUTmPaffQ
HLUf0yx0QV4EIRxHKTRg9mGs1Gkga1du0PLyfOW4MK8QyrFHwLAjIbETb2dqenvkSRBDSNdv8Z1A
ndW0VkEzDyUaVX+vY3QXB8aP0RG6SK/RrnqZ9gQyNiQDjmw2ySYLaJPRv/3m7oTrEk8HWywdSzll
R5onw8TQY08p9cNihFexg5+jah17GRJI1YJ7E0ITNlm7c9u2ngmCi/cak7XqjhpXOHo0GpJMIS/G
YCWl1+K4YK+VgCodt/0AVq2Ud5wt0Cvjk+Z++P7QRXuZrq8BZBpwDPc2uWt6Rv7Am3b3KwVTJ71J
NjUdyiBfRSlrgypxZcuEzInfpr9q9f/8XSmTNmuvt1PXqrow61TndlbK78BxIV+hDjdIbqdDGew9
+6sB2vyvQ1nlh/wMqROxMWV913RiLGOeLMGtyPqwINW6xr/pHf4Lry50gV/gtkIeRqZ9eUDPRr+O
ol2GAtrNdDxBtit4BeHsKQgy2Z2QxUFuGPqokl8aaMYPnl/fCWyQgjmxHfLPdZ+atIBqZQ09iKYf
pd8z2gWIQRjpwJvlejJVELK6V5DbTUqoGM+k8Is+5z4+iNWg19K+hF8NxLu2tVujvBPR4plguTAx
bg6le4of2C0FbPmwn4He/+E1eRclBtnZHd4NR1+OujfFVrO/jzn2nbgT2fV0hMaIRJXIbS+SijtK
jV8JwMWIqSAg9QoFkXKOIFYuggithvV477coTn1hbqSuw3XpS6jPpmfbQDNRxa3nVRk6Qb0mMHLs
8UUhe7UF31W3sh86wHXjN3cnZTZd1MMQI1Qlcq2nBPKVkOv9jZbLdYK/eCq6OLF6Q5+R66EvzUab
u1DqNIcp5ep3iblQsVXwNl0EUyUTKQS4ujSd7prE9o1fmLqAsSjbBojYElUmcQ9p9SyFkGe4+90D
LmRMj31dV1nbQ7m1WR+MVlGRzN3y8t/f9LrvfrHwLm4sW8W+rCHud3lEE1J+YursLEk4DBCNZUPv
l2O5GLJ05xVcMeqhJJZd1WzjGcqWIiAQtf/vv+NfNtDVy+bnu1gFrZmWrMXejOkHO5P3dVj5bXvi
hCyULOaUwBwDlF9YDLTQUIdIf9h7fl4nZHtsxkAAFXgOE129X/Zg/ACHCj82E3T13i6LbPvQEmrk
9QxOX0bF4nJuYSjjt+jOBTuiukAq1Us0w1GVGKb0JYB/gufCOFmz3ed+t3srgRCAhFMB8uH09ZDZ
sHiO79ytEKSpoGyrZXno5DtqR48qaT77rAtx0WSQs0O3GgxBkFaHqssnY5e/Vjb5SW+QLH37UVs8
3/qmui77mFYoOJr0VnEo7flN3rlZB9rZ7dCYfFU3KDuFFKLoYvO7oYgLKcv4keyxQf0tXOdwP/Ut
8AhF1/fd4lV8IS6kLF1WaBZ2jSzDhu+ntCbkeQCf773f4jjRuvMWFa51Ck51WG/DXUdC8kTpGNvf
zP6fF/n/Po+JCyyDCy7dOLfYOtxC1nsKw97etGKZ9AUPMUsvcRZxc5piuQ0PwY5XwcOYdJP6SkMW
XSynx20SBXucZ0dloa6wB0K8U3280UJN094WR91Ux/ehgtr1pR9x5xY27rYfTEXR/TJ2893eNsuF
VdBWzA5oYEANX7XR8dqE4Le8iKtOxWvfpqM54cEWHfi3UNFvCJCfT90IwfIT/mvTPjIKoxOvRJK4
gDjgGuHJBULyua7C7gkavdkDhQK+3wVLMuegGQIRD6iOipJu5C9Op5csrJ/9totzxuCtuauArwLe
HsDZShrd0sH8TkjjerX9Yqu4kDhrA1UfsM4qpxFaHbfawJ7glEFMFz4meCHUtxBzl41Xde0f49+f
79dwymIeLbEogzHg50is8nKMsv7otU4uSK7ZK4s3IhPlMkTNCSYBEEeGX8x/D369p3+1Tk5qEJK6
tUJbUcIerP0AVHX0DuLU27etC4PfVDb/7Seu//wnxgCpsqSm4yTOZmOCn5p50lObLxrF9tsW/kf0
N4/qf/vkzvEDeEJtFy5ruLPNQlzsVY177QJ5btWR0gKIbr+qEtw43/5FdYPaSaUlFq2nAYBu/DMO
Is8LLKVvBw8gOIJCQC/KEO24mUFGnYW/OaD/7Us4wZzAgC89wME9iXpK5lu40sWXIc3Q9+f1IokX
uoC48sIxxuZtmwSQ6YCQILju9ZcMDny/2bDXr/mLDesC6cyeTTBD0l2ZJPF8AeY6zasG7j7/HQ7/
NrqTPSwtSpEMFm5lG6XRZVx2dUqz1usdRxIneSB8DKVMZHUKl/aOVLASG7jfmrs+kTuDdckAf7PT
cUTnKpsuqqVe70OI0r7dj3AQHFqTieokWnqfxDBp4n5VPOJi6AArxCLxtjqN3TrddcbMJezpPvh9
SidIqzhplp0F2Oxhbc7jqKN8z2R08RvdiVJY6ekqJkFbJq0Z74F6/TzVu584LHExdDVP6mChti3l
TuXFZnN/A+tLPygqLOnfftBg39BPUbot266bTmOTPgSJNmevdXFhdHAGmKxhQ3aaYVazXShdP8Iv
UfgVFeFX93buzZDNk4z67NQv05OQQ9npwe8Sd6F0e7NttaqRSMnZwkjUwjbqkPFvTt5/OVdcXa8F
6PwDDD8EkVkGqHPrYuRQFPZbcydCD4j0mGUeW7CW1F709ThMeaX7zA+QRrhzsWZqB+dCxBmIVsMB
QXRZ6fthE60fDxIa928/quV91cPEKTup9UDP9gUogN+szD+1vV/cFi6WLuIHqBh93ZThHrDlnrQq
BsGohnDoK5SShrKNs4PlybRc3VVRXVuLaRbxAjnOke+XyWZkgmtgWNNvKonpUlYpaxOvCjxxUXhb
MIXQ3ZivzyU917ctI6mFIL0w/clvXziB3rftzNOwSU6bbjgOqL2zPbwmech+eP2Ai8PTs7Awfxrt
Gcak41mlEaxPssir0gwj37e7AilbzEam7Dm86n6t8dX/MEq88NXQfnw7+JgskalmDL5YaDdLE00w
YaV+GD/iYvCixoINb3t7dbobYcMGAxpUJL77LboT7TBig5M1q+bzQhsF99YABC7YN/vda7ET6zWw
piQKYAg7AFmTD0LXTzJh8ye/uTuRHq3jyEJYypyDDF2PSBw1nJViz4Whb79pq9cQzlZyPkOjkj73
ahPfYYSY+KVBLgDviBvYZNjFnPueywLK1VCEgRXsbw6qf7kfYidUZTazg6WxObfJpi9xNUNfPIAT
jNeyuyA8tlJ2SDGbM1tVA8TV/Ap69eY5uBOndp0gmZXs5rwn4QFbY6GLRHjmKpETp7GwPGATVv1Q
kGtZ5/1vov+f183/p0ovcSF4wTGqqZLMnmuwZ2A42MBXkILK6bfoTpzCWTCq2gWJVQLXO6PYB9VQ
P3o1nCffbvUGptDDMEb23BJN8m2EV15VAUb33zO/zvAXl6ar8iVDMVExMHiIVzJenhurWnXZOZX6
EukRt+B//8y/7HkXCVYtrII1F/6ImKbBaaFxXfSb9UOCwRXz7RKNTZXMM8fodd23pxQwsCIb9j/9
pu6Eq+hwHADPqM9wc9uLVk3dyajK7+JzkWDZGJFZxTGMy4VdLgqm1DkEjA+/m89Fgu2KcX7oVZ/n
5pCX0IiPR9jFfp/UxYEdjYqOAbWe85g2SaHk1hWApPrB/okLBOuTPZmTtBrPgQp00R1jD+ue3U+5
CSZLbzdMFUVShx0fz+3Vz+6IlYQBpvFTFSTMiVgb7ig56zq9dF1/vMLMe/vUkf53uvX/EkouCqxi
6xpagJXPsQ7BR7kmHCMNf1cj/LfRnYsVDjcoV+9ZdokClM6X4Mcg+1evQHLRXyKkYQX/jOQCna9K
5ssBdCK8Ac0Xv+GdOA3lwOBQp7NLPKoeANxu480DD2Wf+sWqiwAbTWqRxY/ZJTNh3mX0ThLPTMwF
f0GIa5phvJhdVITr74qH6P0AicRFfsEMoq2aZMoux1X6SKxhVEQNLL+9Ft1FfnVENvOxD7AlFtVN
r8dnwv3UBOG8+TZGSQxQEVMKluaAP3R98AA3vhe/WTsBGkNGqNGsj06UWxWW0SjBu25WZT/6je+k
vv0YTp20Q3KJhnCDhHpkorsrVe93eoLXjOgXlzZ1grQNYPacrrC2VWNgbuZqWdSTSUgN31s1JdVt
rY61eZyP6veP6//jGPWrH3Uu2WSnVb90k7z6qK39VoSylXQ8C4Gok5em2oTMp0HBribv4Y88wOR+
131yO8iRN+qCh3UnVC5h57vfNtUeVN8YWwG76wkgrSJn3Q5nyBxJzjg9CB6m4+Ni4EHLb7cgSiaR
60PWQZsTlrUMZudzMiIRGjg+XR5n01B/G3Wj4EkaiQQesOwQkHs+7XjQJ/B7n5ZVF2Jn3fYBEnLr
Aq9eAYsfyHzv7WZ6OGHbgEd5tkMaXtyEo+CQvleoWc4qB69AWkzQJEP/caQKD5ku6dK/1ajwj7WF
a9uJA+7LcosVEsWyrLQtD/iWwnVJEGb6bwOKtonNNw13wTWPU143X/s2EtkPVVsY/YDIeQxa5VD7
6vYvV5DezXiofct7iEaZYl1bE4pTAuJkdT7QsqHngFabKaoUOy0rFr7usTrR5YjJfZguPLu0sT0U
eGHTsN/AJaCHqei48MeO2DY9kZatrGgSDkfRLVXpKVUQwIX1Z81hVWzWbmjq0wwv5iopUCHZYK83
66nXSZ5SnoA3srRlFSVIG3GWcGXv8LWGps3hjYtmVRYGcAe2qqd/TLOCAeB+bMkP2x47u4x6iMXT
oWnKPzUTDOKf2Fwx9nBUTWrrkzzAUYku2WpDKCIcPLHyEQyNFN9rbNsRk6vJkdX2QqBqjGxMkeEQ
NzuHj+H3KVXtUBfDgmLwbQIGUvYabslm9kL2EZzE6jS4ykBKK/s1AIvlAGgLCjqJXex5x7cchlsa
o5BGb7no4X0uuMguXDR9MfBtVRrVlD0wcAMf9sXcE2vEGS6y7HjiQ227122jdZ9iOwzUXjoWm60Y
6iaiUIltdnnCu6ZJv6Yz64f7bDvw8GtiYmFUuI4zivl5lsYJRQY1z4yxIosZ615CkWp+gcCK2O57
uoaoapMZ2moH2szzUoO7RXbDZyA5OUTWiLTfqQzAmdFLEo0fkliF6ampTNx9x9snlQgaFQ3LyXTx
YJ6EJTV/BTxrUpduT0ATygYyxHdHHFDxEDarOP5sezlYMGZ0MERPE4K2Ofdjs9NbeEp20+cmUCmc
bo9I1DzOExVl4xOZZxF+j+CImO7wrc5UXa7rssR3RLfR8KVb+R7DydcQsNHrlYUZpJ1jLn9U81oL
OARPIv0eMz6Nn8EuP5oC3SXcXeB5DLCzRf09xf88BNGPodPLcavouO+v4iBhWIwNIulHF2Gb39SC
Hk9zRuoLoVPavUu1TfiZpO3YvJ9Esx3PKwgeNEAnGroB6emqRMxvzTr3/d8CnZvmvuMw8C2HoZNV
OdEs1Pd2yhJadBGL6NeU0yj7M1xF9QQKeXCHNtLxA9QWlXdrXJ9qCAQFp6090vUOHhLLcQPxIPZF
Zm2UnUYJpuNLsjeyfwrrqg1v16G1+zmYmm67yXZNeJnwTZDPhFeiet9MWT0W4z4H0ETsSAafzkxx
GPkth4n1oyHHTGA8zUf5EcYd1fDOxlnSXEgjhuQ0b92Cs3ONU91cgJ8O9eOULfyHhCZAX1QoGa7v
mo1oHCXNsK1nHg9wxT4RdKuWe9FB4PhS1XYEvSZIlvq1SU0W3apxHHk+V4Hm35sm68ai7o2Y4VfZ
hxWB0VHEtlsjlZlP80pJcJpNT8O8l8c6fmVzhhmcYlKHkDPcMIs2qI3O4c9r+nN/leTJIWh3iKdp
BTHtHI8aTvVkXzns1Wp4PBawguCPSJfqvyqEcAKn4Iaqgqs1Hj7vE/wZIXCkFCTPciaOo71dZ7Bk
X3f40+kqb6Y52XDeH+M6DHk345pec1S8F/NjtQuLP8GCQ+NCEFCryd5LjHL9kONsYY6ecXQ6z/0K
0+Ac3E/4S8sszMR5WWom97wO5/S4XzdTo2qxwcYquyHVjhwRTLamuTVwWYMVsW7b4AOPhaanJuI2
OBmyhNkp2Y+j+6TJwbqbZT7WrLRqCKrTtNJqf2Awy3kmoenaD6gc0V3krZRzdoFqfD3fZQIvmKcd
JbH0EokW991cVfEEnHfUbA+qJp0ohkOHcxGNOoGNMtemalew5w4Tvp+JUCBj9HBzfW43ktCbAS3j
7mmA0l075csewUAHuuLwjtVZeBuyzMzvYjMF/Tfabql84JIZ7LG+UbL5k8n0wE5QkGwz56FO2+WC
v2zrzrESkfnIxdJUd6ZuO3YLEi2Xj1ZTGHydcRxJfoIvE6v+OiCVDE1z03RwXx3auga2GQws7BH4
7XZ3TTfv483YKQbMMAWGmJzNCNfDfJn3nn7Ab6afFpjTb39IiMaDk57RZoiKCfKLdRHgfKqKrRq3
Dx3lM7tJsxFcl7jvAVZVi4Z1+D7aGZZyelg3EEiWJCzQUEibZ0w3jt/BvrVub4KeRugcwSo2sK9K
HUN/B+hucyAr6o/tB24NA29x0xISvlw7NYwUrJmS4/EgWaQMTuJjr27TDp8eQrMc7mYPKw7k6R3c
L4y+JXOTzTfbzLP4enNvDTQBaiyjMfmcIcoJ9Orqw9bF1K77/sKyTWY5XNNSfkkihfMtF2zt9Dsy
h+n07dBmjLpczssW3+4RI9tThN3ffOnMBgsa/JFsqN4JlMPW96nAIt4dtNPbqWc2nm9w/wdjjcWl
ajmvR5KssAeG/+6Bj6nr5bKsIlAfk3Cf1fOCNVvupg6w0Hfd0jZtEXXNYL5sY0Ljr4ome6pyKIQR
WM6Hksn6zx6aqeQZqvVR9m2IeCb+mOQkKN5XEERkhepol9yoZDY78reGpBwu54HdcRXKDdcHsj1I
xvIgXpKTgUjDsAOjlwTfoSq/RwXBpd7dHnYSr4nF/j4LskpetNuBmqtK+uhzTIGLKNieVl2Bt2iU
wBFxSGxJZRLzJWcbUdPT2EwNKMch5DsvY9bJ4ZGpcQ1kzsHA+tYNsPG9xGEbLe/Cnmjo76LPmr1G
ab82l0XCKed5og37khq4vJxMVKEUkLbBzJ/2fqySC9HdSt+h/8T691Ik5rgPu34acGBGiA3A4gFU
S0sBEVX9WCmZjVuRRlH9vAP5EhQbb9Xy3hzrBEI0eK90LSBjWIkiycJ2fCcMakx5o2o5ndkOXq28
gKIWntOK9f1Jk4riS7SNDB8jO16dXLm5Jj8poJVNXWTpEtOTshMJbS6Obf/cpRKqSfmhwFp8HUFu
Y59qw4cH3VtkXEVTd0ERdlCF2wuc7kuerJzNn6mF7MFNzdcR932yEaTpDATecc53FgXzbYspkBc7
9HNSUPjQn8Te2L4UsGvfv8ZEr8uFJkKGcCbRkDwLo5alJyYBD84NC49LhstonXMdV515soBOZX2h
uErkgzDV/i7drwaohz7YvUlTQc4pHGw2XKNIOU76iHDsr3IJ6lvB+xj+2LIKl/e9tmGBHslE/9hl
tS5FtTbRDdI1uGYKsGgGVNpzvXXNTTOPENaIwKvGZcuK45izMR9ghsRPsyb0pkY+8HlVCbuvIaWk
cp51kymakPIamq0jzYch6vhdutb7nxHYP90jReio8ujMkT1OAdXPZIXEK55AbH6oeUoP5E5hpJ+X
YARsd96SgoNG/oh+DsjaY6IY1MhBQ37cdUo/DmtQnwXtuMiV2ub7RcjsXb1CQf8ksI2LeLNrQZuq
vYmiKHuwvN7v6nCTf+z10n3ImNRFS/iLjLX6GHdZn+U1GQ1gJ1YKMeUbabPV5DD0bvbLDqu6/YYv
tP7Ew228m7s9zU7YzrxQhz3+h70va47cRrf8Kx1+py83EEDEdT+QzD1Tu1TLC0NVUpEgCRIEwAX8
9XOy7J5uV9jddxzzMhET9otKSkrJJIDvO99Zlm2na3J0oC/Gz7PH6GPZzhFs2UPbUW9fSDrNbVrg
yWWQybvKfxO2cPaZkCRx6STkwkDlDKbZ5eLqB3Bo3bLCNoXpwCkk6w6DCdHHiKiv8zKZAu84BTHU
2JCVzv5RV0HBb4y3GLudoPP3X9akDZOMu3iypzFWpPyMylUOG2JDL9wroUR8rpepRdhr2U1tOgdK
s5dobJV/O0RjpDawaXAdLAlMUh16b+LtJ69ClnCdESeIyH1TVzYdiUApyu1IRaZb1ChzWkReFLWp
I24UXxdGouE8Lf20fkEo1YxyqLKM4OlusbaISmsIhuoNXHSKcKdZK+r7JUDvv+m7OJJbS7Hv5Oho
SnoYrvS7zUBlGN1CVFOTE/izUZAHfCH8EEA2tXwTIGPL29FYpvzM8XKqjmYwkZ+kMBRhGI+uddi6
e7TGNEQXDMrmejKmNdgXqo7OwUVJLMnHBs3q/KkhDT/EPUZkkZEz/RSYqPE+SwxY0SYvPUHiIkDo
KsPTgWIpLcYJu7vR45JPstTsQwJNv31hM/b2j8YMPKxzQgcP51XREW96TOa1XsrUC0MapdYWWma8
iNrwxqxscd9iyP3bNy2gZtuwGrGFD66tFg7DAdLrO2Q8k2bZdBPcXXdceGF/l2CVYUf0Iz0wbE/V
QgEWVh1kzfs68qt5HzVV48s8XjVKgLRNkqSEDXyP/gMVXz1kblLXWgQxLna+r63W5bzjTdnol9Z4
/bTta8/ygzF8JPjEVj7rfAjbZfrccAItUlI13Hy2czNMW1X60st4MwYnMZRFkg0YhNuzq+u4xEdC
BcSABih7ptU0oCgdEtjJvIxrzBkE0kNx7stw2M3Fwh6GKHQW1QFZV3Xr2rZNNbJBU4jCyjFCvhir
+62bGXFZiTjV8bBGBg1axUeaGjv3nkrtaGdzT4OZVt8mRJuwzdr4fpUn8/VcTUuDjIn9mkjyxSEo
T9Rp1Hu8OCKOOU7izLRr7aEedb63W1Y8wTuc+AE9Wmz29StfRZXjjI+L2z40eiO8YR0xU/UK74D6
NrKZDxzRpB6zQ5HBXil6jiYL/tk0V6U68Op6YuBu2QDurn0vMpxISr4QQPj+tq6qzubKI2LeTAuE
DGj6POjrVloF4obVs4+GWbjmBjzw8dAWIumwIovx2PsAOi48LG14GAvbfmYoVuabrpnN0Q60a6uc
ObdkhGDjABRTFp9he1GLvJTYO0Wtm4u1Pgq4FT4k86GlrMrU6pBLAvWHvxdUR+1lsJFpL7oYzWlU
qq9fQ72wZtOzRj+h6Yw20ougGcHfk7CDWykCydolnl8IzEjedZj4yCWH/YbAQ4w6I21nKrcRUqfH
bEB532cMg80J0XhsAbqLfdNkw6CXrB3RMaKwUXzJoHhxZRpUeHgH14RtpkCUAUUX/iLhpeedBbxi
vZXLI50nUn1c5mlYz2u8uPoZNh99eJaJGIXJbDQpceoZaDSwUFuWHMHm/Yjo6Pg2RIRhPvV0qaEb
LxDV2+Gcp/dBFaF5LQxaozRB9N1xrQtvAb1waNe8wciRlGlhISL6WnSI5jiEDUrntIA2n733FiAE
zizU/IjmW3xMnFeL7e3iMd7bRwwnQn2eIftub/WMyMibeIQbT8aYVvOtxOzoS7x2HmxuSmKrD1Vf
QlvUWKVa0KZk/CRDbkWKtNYqnRtESqBjRnQe9r5JfagEekQgcmbbmNEFKfaIpRDpCuSO5A1Nqqo9
uZmizUwhxwk+o8DuoqxHIzrdOlWu872vBo9+nIuhG2/HSXBxZBUvpdjIsWjEYSqrJaiw34bkWzOj
mvzcuHJGgb1yBVPhph/WZ+CsElyhCQ25XNIFZ7neL7WZsbLD4SWMqmgLSDw4QYuOg4QROEKn3ZyM
9BnrYW43vLIVjFJY0C3nmY1d82mWaGBTrYGxXQIvTLp35MbzJm/6QodPXrjK6cb56Epuih6BWPcM
AFT4ve0eb5SJou4b6Qyn+yUoWz+LY/gKn3GQlTisy4WEc14kdGEqQ6QQWJLZGoAr8DjBBMY/JjC0
8U94sGhzHJMoVkg485fuwhXgqDRR0QxbaFXpd59EoroJ16ID/aLwm24Pf24vvIM8jCZ9hrCbdQbM
3Tm1RUzdrLcg9CiZATwm45dulsZDDtxq2cFr0TV+9Fs5oHRPUN/lgeaqhuYOdaa8GQGTNBlo5NaM
KSwngvDkJyFBDU2s1+0FxsnTlzl03OBdJYXdzaVgc66JUs2mjSI25CGCNyzS4LV01RZFb8tPRQyX
KXDM2msKEkKh+ryuBF+OhfUpy0CHLznJITj3DeyjC4mxHSY+fXlMpiVasTVbFe+xT/YYSg44wlLA
TUGTQhe31vkgu7HdxssYDO9UkKb1UCIFsY0Q6wmvBoTTyxaylQaDAGuySeI4jDOv1XyXhCp0y6EJ
WMReYI0r7fn6zC0Kb1zEdZzVwRL1t4SKdvng4d1wL60CG/Xj9mrai7p7YusU34zXRuFUeH2z4IwB
LRA+Oq4oy1snA4OaTI9R4k/oydCa0wyQMkFR7hvJu6/CYcsGhclR6b9rO3nDdoSHJ+pCLHPA5gjl
6PXR8H5kt6SqpxInIqvXt6YC6Pq5rue+2cZl3Hkz7q6KOkTOJlrcx6hqcDSEnMZkq7C1D++VisnM
UgsnbHcz03hkTwFgCIGUC8Cc9guHa2Xzoryx9+76Erj2/XStxyHMdqwNMzoNsG+FOkjp9lBJwPt4
SGIVbTVFfZdsEBc3DicInUoyZyug8h4FvdBU0BzkMMtOswJgfkYRwZJzM8axeezautFHWkZzf/BG
5E9/xtSl8LOkWxJoF3rpjWlLw9k79z5MeO690Yzio7cifi3jKAC6jRsl0zfCWPD5JfHp9LS2YG5l
zDfAskXUdnDS0KVnv7LEqOIpmk2VhR1s3OtpPXorUoo1+qW+ag+zKiOXosyoAVbQxY5713c82muA
ifOubZLVfwF4QshRNBh4ZMqXmHNuIJv0Nbue4Sta+Ctw4G0HHYZjFiWy9lKsuUuijIsxUiFwAdj6
ARikw1Z4AWDtpAOS7dIWSVIsdcOiSK4rSuK9XUa+7lW8eH4H56pwHjmgixKRUP3Ig/pMAm3MCzEw
j36nZTzKsw8IkG5bUo38cZ6BQOdtyeoSIizwbu5E17XJqSjbrnmcGW7MyYWsMUd/RHLIZcLfGiK4
2a3krh6pLI9LrXnzjHpWFFPmj4kTQ173TAKdi2FFJfxsxGJWXgaLg8SpHOMOyvi2Aevp6tRKP8Go
zTdBxjl8/uRGAvE244HKWePGWlorfbdo3DSMhvAkILs5pNw9Rrjt0JBwUjXrM0DiYtlOWMlbvq70
jF4h8U6hV3BMthIfJl3hdVrBwp1fJ4naNTUdyHltewhMg9D19tMsRg5tfjPCIWFrkcfrqjSYE0Ix
ygnBLfEHw6YsQf9mPsspZuFdD3W5CbdXR8sArdtCkGHN9MqnOuNynpvcSX0NzrImuSG6iLtDDMHi
vB86NUZ5OTnVnUMDOw4gQT7GSr3TdNwKYJVB6pkg8LYYxViRt6zkqK7VYBRNk0iK6HWhCMs+FWtZ
Lw9QnscWEGNV6PUt6khUflFN77cHP4Ki6+AD3BouEEdr+9TCebd67jsSL+cg9oz75gZSq7NzpWeA
Yywhy1DBABwHjDYCQhbGgNM02Pgy+tLMmXXIRzxo/Al1Pq5h2GSgACcYDcbxlUU4sS0HgfOmnRCA
+uzPTWku2q5Bd6RI90JdgHdYgNLNrUMAtqFx/QVohhflNWGeMvCkRCGWmQ5Pu9wAe28ADmAjvXYz
87Ue4Z6eosx5XqCxWNigwQpX5HoHuUJXXqa+JvzW0Kn1oKoWVLyN1/PxjY5QiUMyS8rD0HOUIj72
u/Yx0jq0WHslkYNNFTMQj6KTRh4OrXzh51FIPLAIonIobsKK2nmLbRSWb1Pbiend1otazv1KJfmA
YiCJl7Qe6vHoHF2XD4xKNd3i1C6jvUG5kkp4egwpMk/KKyaolglnLuY0dyiOOT2aCoTqG+DBErpe
uLyv6OCHBs05QT5fTOwr9HkDS6GfCOfNkqgG4IQeqgdMg4MynyZkzz7UIHDhXESUACzq+MQK/kIV
BIoq63zA9tOuK/TQ21RA1hSnPcO4NMow4tPjO/rlEhgV+lLfvqIpW4WXJhYD4zol2GUtoJK2B6k9
hRe3msvtAhUcMlC6JU6qTxCSulGn44ysjmEn0XKIOpsH2CTPR/TDCwlyHVWYWOd/jRjwA0clcXEn
+860G59/rOOnZPprTN4f3UtIG03AhnHdSDwwtD6C/EW+/o/eJT2s4XghKN3isPLRsfLJvxjsmf8p
h/tP3HH8H0Ou0HeHFvQXlN8eVsFQ9cKe5Oz1MFwzWqG7DacaHuSUD+HdYoATZcgO9fys9xa0Hv/+
Y0n+mE/xo9FJCTx4EZ6m2x7RiW2OfPvlAqbSkKFqwqwDwD/7D7LmP2FuBD+QWvRgnImjKNlCfTzQ
R+v6YsxViWoTUlU0ZJkPrXmL2nBx3f7fv7k/YXT9aIVSg4yCPT0k24QhAMDC42IzANj6D2/oz67+
A9VFIT7M0IoTjKnll0YHLzNTxX/gpv7ZtX+guaBYHqQqC7J1yBhIK+0OYmyjv3jxH+gsNghs148J
2QLw2mBqI9IiAMzx1+75D+u8WCZhCRfJtvQ9g5N1KtB+4wz+S1f/0QglbFQEKgLuCxo2GIFajki7
tX/89xf/kyf0Rx+URAdyVkuNx6WiPHwznZBz5icuRIgJC6VK1Qjq5x6KCqL+UhYYdIC/Z3pVrJwp
DCLIFtmL5EM8aHNTBwBp/v0b+r62/oC49KMjCq1dlEyujLeS8QpwF+/cDCQX/727wCYvMepf/EsX
B12yE6p+qlfxFOBJI/vCiLFCx1BWG0TBvS1ThJzY1FIURr/+df/1O2K6+ft/4+uvvXJalJX94cu/
P/US///39TX/+2d+/4q/7977m1f5bn78od+9Btf97ffmr/b1d19sUB1bdz++a/fwbsbWfr9++d5f
f/J/+s2/vX+/ypNT77/89PomRZej9dDiq/3pt28d3n75KfCDKyaLD/O//vWX/PYT13fxy0+X106o
Uf/xy95fjf3lJx7/TDGS9CMWkzCAEhe7w/z+/Tvhz5wnFHp7Eoc8YVe1aoegxeqXn0Lyc8IxquZB
DL81EpHwp7+Zfvz+rehnhi4UZ38UkYRjr/3pH3/e3a9Py68fC+7Jb1//rRvlXS86a3Dh7+YC/3yq
KPMTgl8DMJMT4geEXTevf1G8E+CyyvMx668BQu8xsoCnr+DH2AIkU4CryoyUy1PD6m6HgCoCHHxd
nkGN8B67QHzQJR8uKI/WhxK1zwlNIGZ5U3wfdHLAwA0QUTDHYg8Qzt8SacoB22DxEodMXmzjHYwu
eIYOdzy1jXnwugY4Zb1UX4iH1pxMdZeFUwvoBOBJ2tYSNZFJnE3jASQrD/DymiuMOZ+4cwwzcVuk
6+zURdfxUuUQYfmZrMCSWP2ixsJoKMbeCAjbc6QCP7ajrD4Kpd6b1etojlTGQWeLqD+LsP4y8xD4
Zxzf1B0Gtk3VNqcZssjcRDHsMmIoO7wOEDtYrjcLAbPDeIV8qDGjvPCG7N3IMWqR0DggTgEwkp4B
QAzCx4XEx2mpE/A2FFKmvA5MAwO7QfBbooMf6PqlxtRTpv5YbnUog8zgEQH7xUr1ACfRt5mYGKYK
RYFhvGsN7I5n4IXG/yyDBWZGBjjEzoUgkTEel48T5v/Q5HuP00jbe8Qtebt2JkWXq7jw7wkgR+An
5VwBLOiCyc8CbBEmC2e/AO1PN1HatJUPJMliQRbh4m3tEEsLqoGe8tGDi/W+VVXpHTCTbU9qaW29
LeAQj5n5YpriBKTUTtuKefw0oS75YENd6IMZElPtuBMYs1syhIDw1yHJJ+KSISXUn4qsNqAYwWQ6
9r+CxLS8dHCWmRApYDBAAZMS2rpJSss3znP8zqKTTVI5xCX2d07JlM4zyCYpC2rxEe2fvqzWXtG6
vi4FAKoivq3KTgYoJLwALMzWT4XSNqW8m25JHJng3jWW9RnYHYimgZi0pZs5DgqMWzGEmx9q9FHV
nrplHMCJ9aMyQ5NYwkqaDiFsEOfuW6+EPFE9gs4Kogds0KdkMPjMMY46WmQMcGzeGuBLMvN7M5UH
DHSTNCQzQEjSbCwom/nEIj+NKC03cXTD/Phja+jdUrd+jmCIMDNCY2gbVynR/qVVa5mCO/4wRdOX
QsWPY5ds0I27GwFYBLSVi5zH4VyXRR41/SGpLomc1LUihbd1uWZWYx4RhzOBDNrJQ+k3gCEgRn/H
45z3rAOL3r8LrfBycC3vfX9QW7AkUoktastBYMvxVr9F6720oOYxvAaWxh+lF9b3xvcP4M6KfNYa
5NqKxllo6gRca+8tFm3zyJVXpIln7hgcfoxz5srRQU9FWLlvyYqs7qh6ktFU7ZqGInejjcr9QMsm
TRLpQHZFqxlAawXwdPUBjffeaxwPsGmiu6XrK8T/gBs1KVruO+Zj+tRHOfpelMUgZ/R5AbO0iy/q
5DN35WPYSpELFo4YR7UKS6beNnHL8iCiNhvHgn5d4xWpgoHbwBfenDFHWdKoYIeqa4sDOJuP2Pou
ZY15QDS48NgItrUQ6rq6BebpwmQ3cL2Tio27OPHfWooQmyVx7zBNvY2quc+mNU62sWFP3joF77Nl
zZdxLb/9y+n0R9v9d9H5P7d7FjOeBHGSBKEfUaTN/Zi+1KH79SYR8L1XgsFYgZ8Cd6C2C/ISoNZt
1SdYJd46EsgzhsZc/H4RH8u6L6DcAhA+pTKZK+yTNsGqS/qC39WhGvmmXBqkExshGDgFQQNvLzE1
7qXXXfB1cgXWc6DnucioaikgarnqJHc9uFMQhOnp2ATVWO2qMvH0AQ7K2CzALDlNrp6mLfm+m3jf
d5bh+y4Df5z2tMil8g6jdSB8YV1OeaV1h1E1FKFbVjX1g0WgNE3bwacHPQzYpuak/BoWqk/RsG0V
OKdnTBy2oAhG21EIfJr1dPZhzXcifncK66Y6RUVdb+pQLlkT8iqXsuRXVDJJpzF6WGVgATsk5gxN
ONkNsDZC629JFsCDIkdw0Q4MlRDUSmrfAwbqtZ7KfjNEVYtn1QAM35kmGJddPfV8zND3u50pVqyW
xK81nm6gp30Wq6BuHoUzwXxyQy0R6j0TuO6BQb3wRMN53pNIKy07sJH5epcUIIEbX96IXtcnVwbx
3RiD0JUypBB9wqZgshYsri0UBH0OF2wt8IEO9e2kRvZWWliPia6+120fHhMfZVNfyjq4QLDW3EgO
Yh5o1BbcADiCruIsQaY+VSBW3nZMejs6VfFXVkzeDvxpe1eA4Z32tCy/FoPAal3EMH52BLvXBJb1
bUFG/x6RiG3eB+DbgrGy9xcjN6YncN8Npb5DphkIaiTctbJ3u2AIjjjtdEpHbzqxcmB5suhhM1eI
PDEh3PwClkKEcga/5WNVrssGd+5DW+L4B6WwwDvhoKiyakpDFTxJbvusGZe9jnvksbQYri/RWwly
+zYZvK/IOu2qa0G9U5U9RrTOK2C5bRicoJz7UJRRzgbQJab5iwgSMEf4DTz5McPCTGa7rOMbGGzB
TTNE7z3oMJdmVHEeUF9v2eKxfR/YV8KMOVYsmDIDhvYb9ErzcUqYuZd96DB7JxhMKMHAd2nYbgK3
E8UiyQAwvk1xy7ee1Ji1NyXLZSDEKa69T+hpyh3MD4KbbuCXWq8OWu4xhALYcwCmgn4Lu8Yig+FF
l05Er1mixhHOFC344NitYniLgk6Ro0rY9srYC3QHGuoD53bgYptMLuGjLovl0gaBOIQy7M5e4BIU
H0GCEAca3DekM3ekKzcRn8TBs6zNSkBaYMN0VBxBBAznNPTa+N0U7bQJx0B9a6aSpTi++208rn0u
DQnTSIb4rgAJuY6aegcObY0Tdgzdp4XQyaTJ4sIP1F1RxUlL/yNIKvYFKKkP3B4eId9AA7o6scLy
LoOTmU1g8L6AO+HpsQJZCaMujH9wRuvraQ1/eRzc6vshnnw/0CPaghwJNg4O+un7ob9+LwDQxaMY
WL4XBvH3IiG51gvVtXL4vkP/3+6jLuIryP79N/tjI/W73uv/vW4LiNafd1s3r+Vr+9q9/UG7hdf9
1m6Rn0P0MgmN0T6FCbm6aPzWbkU/R1GYxBzhvByV5FW/9492K/mZhwSsEw7eux9G1x7tH+0W+Rlk
goSDEQ8eFy5J/4/are9ptf88f9FuEYbZasJ4yBlLkBfy+3ZrZSb0ca7JgxOR23T0tUQbkwqYkd5U
sUMcfDuSvAMhtYeGJ4emHONgf2lfl5jQS43lliK6c4dMry6t1HzXRbZK4449l7HkOWaldAGXAjQt
UPyyGf7S95MmSIcOI3jJqbF9NBU4lzXXes+q+FMNX+TQJBdnVpsyIjYVrcGlmAqEpy1p0slo4zdo
BwDMPy9gcUKakbRQSpCzjFzySkXQ7qaGY9cOk7RhfL3gaJeZRceStq2r06k2+9Fj83aGeXsa1myL
qWBQQsUiIwyEr8T8gOYIs/Xyns/3AxiK+ATf5pCmCOI6Qw+1cSZ8gBXKqdeqzGA0lEGh8g101eXo
VTDMB5uArbuw0o/gjoS3vZD9dlqRKbVQ8QxKM+rL+TwS3ExuVXSuIX7JRASyRWd3g4d5T6eGS0RG
NFJ+L3disV8xbF5vihcDllBqBuy31TAe46BqbxyoXglxeTuMmzaGLEvGA2Cl7puNpzXnSY3UmSBf
WAJdVv0E4cOhUjLMNTjH+YRxGE7SMvfWeu+58d4LybQpjVmeoS0ih4jKjRrDJRdNvwGHG7eGDuVe
gpf4CCvoh+pa3hOUNJiottsF096s7mV8SyINbvS1WnaFUhnmSfWO2bjIWsLIIeSrewJB5yFqBjQM
8JYc81pW7tFvUWyg+7RqZ726vF2SC5fkOfJrEBnqpLubtedldkJR66NnqkF6aZIPZetu2hrKJTsu
8a6e9bnU5uChA/HX8sNczvq0iA1YgQIflbnR2n5rukcYQuFoodd2BAVg5qTDaRNs4gUzy2vc8sAR
1FCACQkl8HDjJv/ckHlKHe1Sxti2H9xhMf5zIV/CFjGqqpIQNSTX310fBh+MEPAZn0Ohoa1wE0nB
iAnNtgOHPZNsDnYDqteOBK8QtYgTTHa+tTW/QFuRxj4oQ8VwF1mWTV2NxiR80GsVfJpALEZj2ItN
PHL2yJNu2xXFgOs6nMOR1N7tWkXkLphXuxUcHmwddA1fFYCJk9WNsJlxJLlrh0gdo8K4Ux1r9kow
NkKuQ1eevICzA8QsoHPVRfuhxsR4QvCfEecqrPxDBX/7vaO6fAJBG0NbQDuHqPfdJ9eYPnPD3N9V
YM0cKDheIN4U9HGNxZq1foN0ItWhKkt6flJXABfMEbjyBUF5GL11uWB8Kp9WK5YnjPtG2J4ipltq
Z7bDdKVqa8X1K/SYNB+CagLLnpMLJ7E6NxOb74Oxi25IsI5H6+vgUwCN6IaW/bJdep6chjZpDhpQ
+u2q++o9AtEDtah0+k3JRsKfZcJdX8dZXGrF5zMpWntqIQAMIHlDh8nY4j/MEayygiIMzrLpq2eH
Dwt6H6LPeFToOUIaxhkSMICXSosgQ1QX3QWQQN1wvEGYNQKogJgGmMW/nDJ/0DUhveN3g5Vr18Qh
+qE4BUCQ4jSIfr9rNw0iYyKzolcvy/ZGxbqfDrWZzM1wZaGPhb/kCjVD6sJgzCGrWvMZNlob8CXR
wdvxOZmMt20jN2AV1AY7rAn6nJTCB0rNQaWORfnJFiNABsydyR0syOuTRRlPr/U8BGTrnUpgVB1D
BXdx5VUJN1TPpFj6VCNea2+WSWZTAEPSypEnrasqHcdZ3iYjqAXQL47Fk5rn0Ntx4oYVqNI6dHnV
4cJpOFdcZQlVbtetVTGihyumZeeDtF9vpiLuP3lBNYh8uDYvBPPk54hCCGhCEDxbZGp5IXsYqbdD
qk6XAajOVXcVyFkKzBWKmJ2QqBSjEqyga7s0om9Siz2jcHosNBhFqvdtClnH0WsFkLKuEBuQACFW
9cY1Q74KIr0qeTJrPJ0K3Z+pwPKHpSLGNaYEt0dA0DZqt5EEFMTh2uBVE5mP3TQDHwSVHyhHQm56
V4PlxIN2S6+NoVoxNldjCQ7VOtMdB40pG1dINAAUJj4YeYSe3VibsyAev4zEr54rvwzPmHLBx41w
/6EPEv+uaqIQxAkB6jU+6+UMD15xQcXLLwGYAnMKSrB5o6Bdx0ByoupdtmCjLBpcCX1dKe66Zth1
9YTXdTReVxQoyuMRSuTopvG65V4NYjjHfofzuTLTjZpxVHbQPr1Ci20QUcJj8PuuKxgj+PHoX1d1
QZvuabqudBLg9FETPDmH6z4grjsCSGbJScU9NL5Dd30OBvbIrnuIuO4m63VfWa87THzda8h114HY
TOXrdScS1z0JOZb+oWGBOHdlgi0LbFX5QbN1PGAazg8KIsgTLOmqbIKb12vdhu6kCk8d/aShd+CV
Y2Pk+OkTCpDkK5go1Q5oKMjsSiR3+GnvdoSEFw20ixGsk1CwuzHfBrGm0GzBjIijQmmAmZst41BT
ADSj9byloljALlNLIrOgjLTbg1gKJmBHa5b5BA7LoNJys+bhlUMOsIAX9bFbTak+gHcF1XJIGmXh
XR01dt+XaNPPYeuXS9obEWO4bhkUtqAoYcYCM1gOULD0EP/DqsqVsOmF6ngjV7LivCZk9TMdJxLI
WlcjQwnk2dsI9ogXBo7KPVrlYNvyCDBSHQfQvGjSZNFaSH83JFXbbjw0sXNWIMYWblaq+BIBOZxh
6tkCG9V0hYv3KGF9m00QKLVgek3+R0AhApKNqguwt4B4zfGIoVc+68iGD40dcF+64Z4Wbs1WsNA2
vnGwYA+7vSEM1GNqn+10TtZogCezfwE3SF1iaFmAkXhFhhoVOmItigzqb5kGSKZOFdJYc9mrOY1i
uG75U/1ZNRz8jHr+GkA4jzQ78Lq4C+8Kf5hveos1iljSL4J+aQePHyHDF9hvXJhPFsdA1A8IQqH+
jlb9fcyDB8ileb607C4o5mJfSZogY1D7m3GI6ckmS7Jvwf7PhIiOBfMeoGnCmSeC6Ozh/N/4q/oK
d1Hoo0sP+RBXUYWu5jsc57COUeIbiWcoGeEEBzCxX091Y2eEsfT2JWC+y+tgcN94H+AZHMteRZn5
Fe74Dn38/z7vfzRVo5h0/cvxe53b/W6kdn5F/O3r2/z+rn7X5/36ul+bPBr/jLHY/+LuTJbjRrIu
/Sr9AkgD4HB3YIsYGcGZFKcNjBJFzPOMp+8vVH+VRGaa1GXWm+5aZFomSxkggHD3e+8536Eq00qg
+YSU/u8iT9t/maDalem4FFrej2nb/xR5lvWXNiWiVcE8jkrvFMD5P0We+5etLMvmJ56tbfqv3n9T
5P0Awfys8ZjJeRwRtDYtpWzXtD6j33/iOdSYH9B07bwRmylv8UvXYlt1tLlOEZP7SdMDaUQJT7X6
EAXsPWU7PGF8fO6r5lLRw9lN0YAOr+6uk7DAWqYQppe9wXZctc6qkdlT57YZmqr0Cfcw7cf5IKhx
/aJX1Qp518oekz/QYz5qTH78clSwFvQSl7aR+xm49ZOYwsSJZM5+mwbv/2fglM+f5PAkJQ5uDm+s
6Y73aaweshpqJj3OmsOSH4OAOEFU5q5cW1W4/uUV+6cTnvfhgKdxeNAxoDHuKCH522dYy884gEIN
3ygJ9ErnxSNWUrRemIaDgaFapoZ0bdaKicdAuQh7FP9NWEe7gAiE/dJXOyfWz/y/7onuuTCkvayl
bJ5CYzyWSr/a0dqRFTW9Kr82E/DTSkSLPxX1+czwigIlHreBMA+56DnttxF2hQHvj4OKEArC/KqG
5bmu4xeBOcrPUlP+QY3x4xD787X9cQ9cT5rSVrRNJDSjj4fcnxBiYhZ2UYLJPCctgg7otiqDnVc+
Vbl6NVCB2Cd/eIyfwBnyt8yIvv/+Yfz4oI8Xoi1L2EKbJpNgKoCPF/KJbmv9mPhhRnDDtllPVvYN
mgk9z/nkIT82/XJfyvlmCEjsEhWm1tyzb0Tf3GGmWk+y3jmhfl2S8CWfre2fIbn2SQrz68VqpVwW
IdS08J8lS8jHi/0Z+2KaC665rjxoc7wnOeSuNtRF1cX3bV+eJZ7aLxPH4dp8MCKwGb0j/IgpdYMw
fsAZojuLbTyLVpFS9+MJAP37m/q3p8t1etKFS3IyQUpWuo/X+ZN0PsTZXeUm9XbMOaXSYL3CeXBs
8bj45EyZvqNwj+NKfsFEc4eOdtNz1vz9xZzuyad79uu1fKaum/+Biwe02SfmUBzq/B+QcVTC7R8/
7sea9PnzMBrBHuRJaftHefeLxgHRJT2iE0tedMvJCskMyO0aEC8jb4VzhxvE3rpzXmIAMiJ8STq+
VtF85pjRi56F8JMkaDfYWzK/8IqnoEcF0cK6Str7hTHmER1utuoDb9oGMr7xcrNfd4nnG2I5d7vW
2SeKwq6yinrVDDY1Ymlt8D8dKTqTlVHIfMPU8pzDUbglJbfhhNW2e5KK5g2zEGQQOSMKinOxgbt5
/fsH8XGJ1c7ppVC2qRR7lUXL9NNLga3/FxT74oTbpLqcEned5n/gBv/D10QDS2ZTdB0+CEnLp9dv
+Xf0h0j0kdngdxoy6cm30iJ7Fohm2+gxmcY7p17Oun6+FbP9HLiQBoAovTQB2cuyfQv14hdmum8y
+77rmoupzHa/vyHO31/Nj9fJyeJXOczPAIhgUecz8yCy6ZKVmeRPhCCaPgIFJo0VhrPIiIDx4ABq
TlhFt6qfwiWHtTMuxqVyWmMzTbXYiyQeLpq2ydeJPaZ7WbjBLqyVc8DQnT70owO9oO4u4Q5gO6l6
GhtADjCLVkhGPT4YO8q8jpaZMUrtYGUaUb8YzNM2JfLpHUabx6lLXoOTqmuqxpkBW/9gL65aL5wc
IDwx35mCsNkGFFZHtCzLFjHLw+/v2d9fIk470uHUwzYt2EE+3rK08zhuCDjnoQwuO4pL2SExF3oX
VPb29x/1Q8n68Zv848yhUUQJx5Kf9ac/ke2DvYhD3y+PS1yJY9XM4UM0UpVldU3fer5ow3c66+OK
tg19Z48NduzKZr3MluKhyOba8uY/XNxJ+/rp2pBk8a31+FJZdDM/3ocsGaxcuoQPJHl2mMPtKX9g
qb/84Q58PqloymITUo+p+QzLPonGfn1BfyaHJIirXABR+1nG6TqQtG3jCGJY29+OYVW9ZrX8kozz
jWwFbmIAItqB8kyMaoXjKy42up2u3UZG55mBCawJUGf8/lL/6UqxW7Mp8lrY1ufwrC6BkjhJZq9A
L1hV4LIOSe7LqIIFYprQJyJE02ZwdO0/RTtzkv/4JDQQGVp1CsgFg9HPi81Pgj0Nwodg1CwxzSon
ok4U9u0w9ycK6h+2tB9C8g9Pn89EVnEaMLHDQun5+Fy8/4DnvTrY5TbiIptm1aFytEAOzdE+77+h
xP/CiOM1idWrvdjRKjC+oksMV5FRlpfuVLwnWpxZpV7Fyf3vH4bzt3OKC3gC3ddpEUZr+FkI/5Pg
To/p5P3dBTLYBqhh0MxFiinKkh1xO+zGyX5PZHToF/XSls207VTw3NQLJn7l3CJyecevvM0ncxsO
ZY21L74eVcqgHB6+LGPsIOU38B3uRiNiG0LDOyv58VI54yFBk+7nU7s+zVq3qWy/z7l5388OpvsQ
/U+xHZqTSy7ABy2a9A9P6EcSxYcnhB6BsoUehuS7430+3/5EzLeDvoeBdLO45V4Xg+FXqNdWcK2b
TQt0oprCbGUF/JsSgsFJFLfpwva2a8Zbp0nYDOh5AtV2MOA0bPAasRmDaF3TVcy9dmTGwmSi7ToE
SizeNZ4NpCd4cPP0HAvYuI6D4NWVZeGr0L0bhPcMNP6CxtU6zeyzJmE3SOZiPeIPJJ5wecNMWK17
5iJNH68HLtQy86ssm86nJDlPs5R5Ry1fh65bQ2Sg51GMu67D0mSQJ0UNgk4k1T7S4AW3rUA2Qqun
NEzLN0fmcF0+rWcrnbYR0hAxKcPnRwdbVt8QYl2V2ZNePCCz33//Mv5tk3UZxFKkI2a0wMt+Xhl+
higIe1UvDIX2Q7mvMTj+m/f4f3uc/v/SoPykFP7ldv+tgXLx+hbNr//runl9+95GH3oo//qj/+qh
uPZftEgoey3TRqqnXaqsfw3K6a6YFopleijUC9apFv45J2dmzWyKJQ73kj6V5P+ek1t/sSPZ7H2K
zfnUevlvWij0Xj6/I4oujrIUw/zTLB+p88f1NLYMb1rSpd1OWR85a3I7CcZom+jKMBK6JbKzHt0a
Hs2qWcDkMEwfrYNbVN2ZO8bJXeHY8VXD0KKmwpmdN7ZI734pANvsgIra6jwo+j56CIk5mX3DKCFu
BUjh8Bnb68lAfNma2W0NB+6LlqUErdQPV1UBcCVpJtaLYryPZZXfh0tRvPVSi6vGzJO97VTuQS1L
dIblvb/O0ykD4qblVMKXQMS7qsnVo/s6d7tIzq25KrpiOdJCGmkb9+584/XBMPtsD1l5sJv6FoNt
vtwOXlsKhJtLfleZGJnXSdwMd7lV5t5hcUYCaj0zc5RPkRoNZ3aYQVISZF28GYbbz/hVC3DFIsdW
fU4Quecd8AhqSFGjYzc3M77CNwcdVLwLvSkdHgwr9N5KYF1fF2ssrb3deHW+6bRAGJ6MBqMEz2uy
taFSO7+SjA/Gw2LI4b3DA8c+H+X1S4a8575Udu4Lju43tjPL3ZgkZwwthXGojKgyd1DA1Fd8Bs5w
JhSGA7/GIocwICIHgcoYyZQamhJbeujEq8By0oj11LzHbR4/95kTvmEsbb5NZqsvqddmvWnptm+C
aAydlcQcfuTw1O0KNhM0RlhHd9wVx1p1EkYU9j+Ct3ERsfYM6XjyrYfnIjPy9GXh5bhNEqDdfmcW
5sFo3NQvDYzV3RIi666ASPosasgkqz5v/CxU0boXBUIjJ7VtQL+jPhhVEoL7Tb/1OW8LLR4wTegS
+tVCsPid23ahj4c3xRbL7927gFMSA638KnSm8hXJZQB5rRfvYZa7j06T85JbZpuKl6jSMG6qbFjp
fvoqiGTxod8Y+2RCL0Xue4zFdukihLxefFRdfltRfwBhbaJzKWd5c2pgPDdNFl+E+EvVJpuXaMes
zv3W5LZKVqlpZE8DjsqeEkROgPbicAo5ONp5jLKyiFL0h9nEVCVCBHBoC4Hsz13qyZ+zsD0fgyGG
lVTcnpglm7i0HLovSWf7lfDuM8cZnhtHM82pBt53eqKSOdHQpu7WLcmqATaYL68yRwn62JvgWOGc
RZqSO1IJ6lPLGMczU3co+Mae/IlViem5OLOAGISUzEP01I7xxPnCCrtyWwo9TOc1YghvHaVjjQXI
hTgBXlDZNcet0bpqGSFrv1KNehZMuNC7uCE2nl2Q984jlMzauJQOGYygaOOo3040zOSaIHF7XtG9
FXI7ztNsroEUQMqzzUKmfNdhqE6XDhrl/gJL7pjAMkvM/A6EglPcgq1OT6oG+oWPgFegrZo6Y+8N
QgOpZwxCCL/ojBzXr5ax3HdR3N2bSSbPXOmF9R2TudkFPdN5yfcRC/P5kOH09wVNxcJnVJ49NFyo
zfQuSb9nY+c1GxEEDY6ntDZMqjP9wzKwFL3fwpIFI9JbwbDOl+y9gSAAcEyMEJiTKm3PeDOnHmYt
OhwL4MBNM8TFZVFI+aaMqbD3dGtBgvSObL4KL8MSnEdpvQ4QpqL85UcsEpP9pVCO9QXTAMIOM8Uf
nqVOuJegRTjxujDHNIHp0GcsxIEUMHky4JBY4E2xQOp21Sd9Xa74FfM1JLjA4IcCWEE2pXRlk6IZ
n4ehcC8GlIePJS4pZE5ynC/7kRD5ooEpiJyhmjasQyFykdYb98rqxosBfifqVChUK3g53jYx1HQD
Q2yGBUx5kA8F1JERXlW4SouwPAtq26MuzybYkeSuHrsOX4U0mvreKmzxmHdq3FoNTIIFZfBZH48h
RFu2yHwDFADwC2mFK2HYICRDSKELHN+l35l4RM6rsjNWBQi61E8pD/zIKaoroyv7V1NM00tMPfvQ
RlZ6pvohAbM3BLfslrELIES396WVTF/rLnbe8PeM92OTj1DBijuPZWnyx5qR5yYayjvs6kBt2iWq
DnWdsvK6Fop4K68FistB7gYye+OVdDr83eDR4mjrZsPS+G2mnkNd8FjRjLZHwpvdd2/As1rEFJM0
Ssx90nX5i9a5Ea5LlL3j3rR7sckGdPOoMsp9ng/lpgEPeAlvUzChLzsr2c4Wv3AHP/V7VcbGeR8k
4gR7gOt0TuLDUq2h/JVf6mzMtB8QXskSMFTOWQXQ5AheJ+zWEJUd6c9MvF+kYTg3Qz+Li6ROvasC
tkwKLsX9xtbcnMNabhG5ScG7MYFzq6Y0POZWnnAtMwuVFFNzS/wg/4yCy7viWrqXHEn4Q2q1asRY
XS63tkbsG8u56k58mG2rk+8g7LIvSi/JZgzyuLvk6RXP5mIudJw7g6C3Tu5K20nWcVm9DXpZrrG5
uJecXCZQyUX+NFtQ6WrPiKOzAtyfT7p3w2ibICMfqIVYW2asYPBY6Nfy3puR3pAAc4fz2jjYTtm8
2Baa6w1AiQXfZ1lDkRjRpCA6UG33VdWD84Kff7gBq6nEmYyK9Ank0gl04pwcL2biFF/Lse2+QSIb
YBBOZWMcWlCDCXc18RIKt0HfASBBLSxkpg+V2xmRH0j6o/4cScNd8V9jMTMNrYc1DpJiJe2aH6b4
Km+cxIZ0M7aszDxc6+GExu02HXhZ1EsRpO+Kg1ntV3KKd2gSundZetSS6cA/myLq3+GuDGeYlarz
UTX6II24uklL8HJ+q6GLr2U2JF8yoGe7qM7bYxyB7YU2rA4elJMar0GMqIoAS+RWqmWzmbk5LVE/
A1c4RPzQA9Xo7Zskb5NtBa33tfaKxNnUk5hfY7yp37p20s6mbQcUzaHrnKRfYCnSa8uQzZEHj83E
5o8XdIsZ9fu5bosrmALLLQfTCOJuaGe+E7thxbwuW3hZjSDc2V5SvoBLy/m+iWLcTsYSW36QIo3E
C1U9F2WnwhWJocVrOkt5dLB6vYq+b1HiNPj8XYBjx7Cswe5UlkzPNJe0CVkzITeiXnzs0MV/W0z0
cr4otbyMI0l1C8VH3UblPJ2fME/3uA24tqYpEcacuDLMCeP2rKgXOsy2E5bXrPqgcBoN2ITDTolq
0QzCLwFST9adkWWytZF+qPzkVGsCDk04OZIip3yc6xc3TthqMH0tV01eSwehzdS/dl0pNzpK0Jbk
NTnWIraZcOgfHrloZhDoW5meLrrG6kGxuebyJVw6796rq9RdUQkslzHOxD0Uq2JY0/NynpD4DtFd
Cn7lGl2jyDYsMO5bx9my82FtEW/ZsjNfF+EsDxGKAdR8eefuRSmMbpXqyIB3zD3bA38cdhKLWOvD
atE3MRg4MPFAku8YtlbrSpHyEaGYu6Mj7V4Dz+XcFuGavMnsTg5b01tky5HEMFFYdAOQGPQj6m5Q
XgxBdoFZabrpjEizTmHlT+K2rlio90og6/RjQ6qNHKTxxoqXbNmf1dae3eQ79rJqzVFIfvEAMVvb
1jTULQwY9VIuCepeLxKIKGqbJgkdYe+A3k8/p3pYrnOzMb4CgEnuzDlq4qPddvmxGGb97rlmXJ0v
YVtik2xl/oZCr3tYxmnew5IfjrqSabx24G/Q4tB4L9GmNTOgyoJVaF/XudrjQDG+gNdEwJ+1Vbsz
OwnsIGq8lZ5BBa9qWYmNBZGiXxV2lh0gM4/RysmG+XFxSYEro4ReOdE4tV5HOZGbYNGrc1rGOl0b
YdxsxiKMj1PYmmdW3j9NWOFgsJfxGnMMTavCrl8CIO8UU6o6TJFwz+KmYuUBrHQTj7rbyNkOQz+e
xxKpLXYyYUQPNtgoHxLtBH0RX5Ldeu+ldvatEs3ZFAbhpnY7LFpM5XZItspdEM/Bd0RL7ZVjl6x/
s4fNDE4q3ffO2ZV5F+1GjgiEb0wD3gevLK8nkEFndVK1W0jLxR6WVHqsQ91/G+G13ehTuvsKVd3A
2UWX9w57HzCDsd2PmRe+cJxpV6UX3UKrp+5EAcxhTgfs4Nhd9VAGwJrIK0CZybQ47Nvz3g7ZqQ0E
x2M84rhRHS1DF4MdOzEw72Ls3tK6MMdNMmYuAtPIfUlqG4EkFNPuMPKCrAxjbo5NbUPULtPkAJN9
eF3c+m2pDM5WmROctlOqsSoqgjM1N81hhq62owSipwc8ruUeC/PCi2WBZFyKVV0Ygw9N2d4ixlI3
XW4iT65BkR9VnXbnZhVVZ7NRkT3l4lm8kgsBWpBiFPqf4J7X/kY54XGY+gfoaM41PHN4PjKD8JSm
lY/5CTo0uaGgJkMGa/WSRBfQHIt0lcx99lCKKXokDQDtU5Srng22/qLMbnrF8ztdK2A5xG6oLrkA
o6v3yh6dszJglLvDceSwvCXT8syU7Cqt2uYKmDg9grbbn4LMOQH2BYIvgtdeOHUGqyKV8qmdy+Fr
tbQXeZTVxxZjMnJZEEcsMRCA4I2YX8HTQjnuJ6CV/execNBbcMF6gAGyoSddjc+GwCbXTB77bZ1h
teQVNeQZ6nn7ErXAeN9pzuYzWHpiOejQP5OAIA+dhTumyPvI72bRfnWLOERQpqej9ILxLgjBpphu
Z25HFK37RilnKwxLPbp4ggCcV2E4rAdyB8wNp5Freoi63uQIsOHe9Fa+qY0a/yyKqqJbYYTo2MIt
FMuKqo1q2BDVS5dzeFpHRj+8kw3d6XsdTi5RKnZRUJl0dLQ7dpO3xjbI50izfNrDIihephBRHGZO
Owt8bSRVeJ0nlflA5FzJ8TvFvZ4I+8WODHWFGNJ6axOjtHz8l5iaK57DWU91s1U6o5CA8BM/pPWE
Dc5wKzu+q6q2KPYTjrBNFaquIhOjXp6GCFqSpgN0NvWtfcLzi+LaosOq9qcGyWsoDYvQskUzhBwm
NayE07GHdQXGdqudTb8bB2fF/lLdRZnuXslZYAForXxvy/ilAbx5FIjni03Wh6hCRvos1HWZtVZB
Ke9rPXf7tliEfRFOs0VrFW5ws4FZRcYjwl5hbMVkJHguxrxwH5I6tskdYNcUmLiz05ExPB/HCiJV
k3AjOq9f/ICkhNZPBs98r8ypv3QXJ3g0p1xrVL8igG8Nr+spLuLmQAenKLfM+DEw2PS2D4ZORH4/
QhO6KzprUOeYJ7v2WEZTOq2XaM438WiMq5muxK4T+tnL69zbMKe0doLmnGZFis1xhSwIhwdcmxev
YMfajmMsfUhTI2hzYdxXbkA+s1paDCYJ8oa+HF74ysXNJUu+co51nydXViCcb1nSu490ZkzgjG3J
SbqSuwIb3qX0qvqb0+DL8mMvFOdT3Vtby4uyt8TALLyHqQdU1oyatCEDQUCITb28gdSE5JzYhMpu
OhTw44l7FFfjBROH9lQW9iH9iKyGruVOVUfaU1v0I23/cETN35baPGZRj08mdia+7jCPgT8FZg5e
v6USS7Y54HecLnow100qgXw7TdU/iaA+HZWZkrDntFlGkAclMkaGrL8qKF/4t3nD4h5BgVE++3Sq
DrXMnVeQXw5JKwThrNJxTjnhsEXhLDAw5Ef5dBi9Sn1F4Fo9KjJQnhaFBd4Pmwjgn4uKfNU6DpzU
UbQzsoWOIyyuoQY3wJBhfanSbBXMPTjTvKhNBDzABggIgFLy4tQzeUWqV5dZULi4sYvcxdave72W
Mf4FRf/DYFKNpkE5WVqwytsulH0DHK6lwAZidxXXAPzEPsu70ucNFtltYWT1fgxO/ISoofZYMW7F
92c1qji3gG6BS64hla9zkWLEH/KyqXeBnRtDyEw2yCvEMeBlkbZayS4dNDCvIAum50FRYPGbuO1D
P+u+Wal+Qis/arXgA4IoWWHan2mgDSmn5D6LrHsXRfGwcTpXcU4A/3UkZgTdaghJ4tVG9UnfIp4M
a4sx1jRWeCG65uBphshJ0VN08XoqtA/YGSVgfnMKn0glbncEAakDDREdbwtXFDu6tdlbUef2BdwV
D+9NCpfXz1vdqKsYz+EDjoXksR7NAZjbHCh+TSZNapUaukW05ECLxZq1FIduDiB5dY17AuAOoXef
xw3V/GSz/MzKSr4G89jRB7HtGoRt4cYZg1OLJME2lbl15k51U+xC1xvEEfRqvzDWI6iokX3zBToD
JoAU31TupzYtPT/uQNqHkaL3SC1gpCRWNAhLytISIVC7WB8ZZ9Erjb3EvUQ7BRNOs36yYCchFp2c
9R/ibQEYeI0yfNGkElk0bFTU1+Z6iIfqkrH3NNKkTadnFSQBsvG6f+ab1NjnjWn2u7AK2/68Mm0s
OqOhydA2RBu+AdtNou1k9wyHAyi69YptiXVlKqYs/5KIAbGEd8ryNvsO3Ca2JOlAh/dGjPQp+Yp2
K0t/qMz5fC4MMi2oIo1wVTUnXTaUwSzZ2FG83Nh1QFiXy8mooWSCilqT/UamcuwEF+NkBOOqASm5
qc3EhK6TAnLzU9NDCsWqKsBP5NPWKEezP59HiZLHIOYBxw18BwJ2G5NmUqsV68ASeS5o747TfcbO
RgmmGObhIwdF4IKiV7vSDWGKmGNIs2guueAQoHtw0fYFA9kst96H1HBvG0a4dB4hJvqOUXagiqOE
Mb2MsgpwSAbOctOybIaw4mrjJqTUcB/seJk3oRpiCpgELiHep8HYUtY78bvjFPNLxoFMbpLYjm/p
4oJc5OBar6NRx7dp5s577TJA2EbppB+quK+OyzyEDye3GGBet0rwM2VPFQknmxKiWnqWsIlsgp7x
fVjjGVz3U0CmCuS+tzKu5vskI5RsTSwPs35sBN18zNgKG5/MFeLeEOO7+3o89bLTwfvGYa75aiZu
/mUxJ4xcCMzJX+H8fjAshk2rrjz9RnhkhC+Q3bKoYiW2jBqBDvzt7URD4UhLBxQsXr7rFhRnvzby
Ulho/8dlL3hxb7t6rG6DBUxblOAyWUd2aN+BNGPN7ha3u09d25qOmP2qLUYXN9xiDxmiVW60dKKs
qmWEGji9wCDM65vwNRoEfcs4GhN4T1k6b5fFGpbz6qQ+xpMjBeOZqHNx8KS2ddbN0V1UOwo8tjW/
mjhdhOGU68pEaenWSzZ+YyBTUwnU9hNnskmytyWRukspTfyBKO3KB28f3oO8dO85i4LuMOFBGSuT
UZTBsa2uH7FMlO9YXTmLioY+wAkOk38HuuGmK1ckGfaRiWZ/3cf1arEneCo5Cz0nykblux9Dx//b
k9f/74zMGl6ELezfTWh3EOOx0f06mv3Pn/qPwB1tnkCtQVCajVWZ/96/hrPKxY/MBmva1n+syv+e
zkKaYlqLwFvbLtKok/X539NZ8y/L0oJJomPbP+TU/8109qSB+1VIYfIJroewnRmwjfbrk+DLs+E2
tBQPm47liHhIKAGPka2mP+DUPuvKTOx2Dnr8k8yfVUN8+pgWBUEyhsBslJMOL4NpMChi8MaG36XD
LkTc9q9X9gPC7FcY1t80PKdPxOTtEEpvekhFP82cPTipJC4EaqOtyct9sLp0EHsCMaCraVGsiWSJ
79xeJ2RWYnsbTTjTwAmXl2IW1s7kNHggR0McLNyUG3vpqaznbLyABbucW1Na/UFU+UPt9vFBnMbx
tiMlrjNt6k9ixUQb6TxOZAOmQZm/MRNK2YUs/pqScrJOjMD1x1DTx47d8q0pzeWtn9zxYQ6TaieJ
mXkP+z79QletI/1pKd9/eamv/3Udv95O++/vCZcnhKnRfwneSd7HX6VqIC9N+Oyz2gB7cC7iBZ3J
KpYnCk87RseZwwrQBqsqsYyJaWMaZrgHODYhjtXu/hRm9GjPYX41T9ERptCZGRk3U2hxogmG3sXY
XQ/ps3AUhIyALBmgJeXXPrRSMBh1dfv73+VH7PznWw0vRzAlFI7L3z/+Lm68YO3rhcSinUXnHGrc
FSW+Ha4n4qMPYxNjQ8qFKTdG2Y5vhRrpsmV5cSq7807uJ+UZN/00dc+4BoThW1aBxdWQT5OVskPL
C92QYAgpg+0wM8IroquGs66M4PaFyXMl6T/HgXzyZCcuOzJyimImFSge9tWs8rMUR+GlxXH/nAYx
52I74oyC/swKtlHOaDoBBLShDwFEFsjuRVOZ0ZvLaWXxLTJgjlLVy0VHHhkbI6vREa7GiArBNjxG
LWSfPf3+Xv744n66l+AXUIxq3PDs1p++ZuT7cIBtZ7mhFsyvShj5hI5g7UWNstPCejcSROn9KdgU
7ogLrLFvsvFd1Vnz1UEte1GH44Brr7Y10YNZttYcA3DcFySdGYGorksiu/ZMlsPpGFb5/Ob1o3XX
VwHJldlkPDF+Cs9PJlBaUFXMUTs0p3M3hfjU9cr8w4tj/cOXgG/maUvAKyP5Knx8cSqXcTd1iiKu
oh4uw9wGSMytZZ7Fsn5tzGSd1niToHdmy01Tu+FRVJIjKOKcam9BS/giWzl/b8bQ/Pb75/AP66uL
jAdVHP8jeeyTYjELCW7N5Cg3RN5SBjflezQgeu9oCehpOPz+w/7hNrigN2zvREK0WNI/3oaS/WGk
VgWINbf6ySRL8PQt/pM56XTJn96sD5/y6Vua0R1QreCMm4o4/m5CUMHJW5zK6q74k9z3s7yVO4fW
lz2aHdUVzmfLEK9kUlV2LTdgeeyjMPLlDZG7OncaYd4CnWHZLcrRK32kVsW1BwF6/V/fUs/RTNpJ
UgJe8kPK/ouroTSYj9WRlJus08ODNWKknIJF/2EXBnDy8Z5K1+LgINF0ads2KTs+PjmbJdeds0Rt
BtncVhi/VzR3d+jabyZwoIw5JqJDCLB9m5gN9VEGGsGiz8d+4sLwIVXBY4CFgsopb2D7jzsdIo2U
021rV0QTMNbZVHGIh62PGPFS+/rCW5p1PtbfT8S+39+yz++HdF2J/YWdElce56pPEm0QbmndM1Hc
1Gw7q4DUGV9R46wXVRp/eDp/u21QY04bHxI25VmgNj7etmgJyODrDW+jMxUegjk19tpchmPYFNlW
tEG/51Z7f/hQjoKfv9WgQVlvOC6xsmrJ8ezj545MpSBHjsFmyMZ7ZG/lRoRug8t9Gp/IQQK4a02g
NsMYjdr4DPaQudM4269JSMRpZ0bophhAwI6Dbqeu26o6wdhFvWPSssvAstGgjJ8Du30uB2tHUxAr
DQEFgB4C268zmkJ6nM5kiuu90a157UGZZ0bK1JsJHjFYktSP2JzNbWMF8gLhz7QOG/O8Ag211dOI
yCsg1lZU+U1fR55f1GHFF+h21umKRf8sddw7Ri791aJenWp5K+iJXhVLDjOHKJ4nnL/9lVEn9nZM
kBQHC93TnGBlv2Fqv8tITjL55yx5nhcDTksfF0yIp3Z4szPofE7k0M6h6+c8T7ENUN/M76tquG7c
HUIAHwe89S2ICSSQ5LcwvCMIA/F5vBAmJJstvLx0U8RetZ8yma/sGaQPNEJGxpOiO2snyNOIjWPP
bXr7O6IP9yJnbLyNrdCiikyh43nWQD72qHQOnVCkL2lbjJu4hX+JlXlVZepOVnG57mriBfB49g7o
TkLVjjDenZsgGuoVSjgUvvT3y2lfRgVgnEzsA3VPapk/T86a2FnvfR7FeTr29/XQf084XT7ENukk
YiEAgsDExzyqDy0y7W3bd8NFYNfWQ50k4mZIG2rSuSpz/lsZXGhv8XxP1De5tzwwmTpJcRisdVVD
/FsfYsVL3Qk3v9ENV820TDtr+d/Unclu48raZV+o4gd7BqeiqMayZUvuPSGczkz2ZLALNk9fS+fe
Ai7+qkkBNanJQeJkOtOSqWj2t/fapfs04M6nNZMf29hJw9nEafJX6iHYJ2vcH4xWqktfSvOjblX5
PmX2vs4pmN4hbcknukrURRSInUzCjNQNK6sFHJnr5bVkYHyx0T1pOCcEjzdweYEPpPYKI/SZyVNC
/q4T14KD1nnMGWvk+GK3JmEv/mVPneNVjFExzSTNIRR9QwbqcK4zJLc6hUbCT++w5tVwScfyFwXV
y6/89gonwxX7LtZPRuLs1+bFMOGZ0Jf62MbLQ4zgt8+NfDo2IBF/4thMX+jsMjetPWYcwKUJR64w
UecpkxpI+W7Xm/mrmROseu2UgpBr1q2hFhApeAL+SqNHhNLOclcxRH6sXfknbd3Pmvl8wJCsoV+5
g7z+7vd+c3CSSWwoOIC7aXPRH/t0xRqL1jB2yXun+ncgLDCGBqbev0qYdG+JLLxDhddzH9hLE6m4
tlCup/6+Q2DfdhAbQASrctcJmUSuzTeFg7d+c7paPGR8VxBQYv5wUV9ZYedDW7XTkQ4eaqu9GuuD
P93Hvf5juxAimhlkLpFIagxwOoV5lvIHBJwjPVPbxqBU7Apbyse4p6vIbIR8tsflV49p/lp2k/eI
nq8o2arXrWNnGEUq92lVhn0ZAQOVG4t+pG3aTzdmE6OJwBzSXRpMUzgGNp59Js5+rhFHbQ/tbUkJ
bUJCeh3sFNKvrdaTYaAcug0Vl4vL6ogJcGGDaImuUEH2jU433uvEnc7ZGpcXd2mmh8EVVSSAwW3x
Re5dJ/ts06rfJV5ebx3UcdbVbovKhXdBVDQTF9RmLGK2fsh6UyMnGYu2QWpAfkraJ0tUAb4Zrnbe
zq6cN6YMNCjaCfMjiuIACRZ4xIwR4PJyMisdjnZ/XIv8JS6KmlesigsFuSbSZGb9Nta5vCqdc9KX
0wqwqbd8Ot5XWEczanVHmmVLI/p6wPjyDOM2dDFOQ2mJSTbTIluvaoyCzvpFd9spxf5YOsWvOmOW
l4E12U/Ko85RGM/AKrZ9OuuH2tXx/TQ2OSxfOjY/iFuaW9VOdfyVcD3Tm5SKTFARdO3icexOA8bb
0IIyBuMzAcdCPfpgQUtOJ3ulyoiGJtJuuAlGsBti4/a1s/MC/MDNFN9x7Gj2TZ4XJ2RC/STMjLYe
o67vQT6rO9frm6vjtZe0wB/dlIH4BubR0CVsFHsz9rO32wQkGmYnu8/izv7gu26inr7Fc01CFh4k
VLHUU+l3YIr8rpXGuPE9ds7OWjCQVio46GykrHTIuQ6Wi9z2SVMdle1CvqJFdAtBGTYvzLXd0LJ4
Y9m+dObfIkVHAEm29C8kR+qwN1P1ZE3lcvWSQpJjKxfcRX5+MhzwcE45xO/1GiwfVJUqeqBL88qg
s91TI8NeSDvL3ukwwUlqKkPl0GmqW+l/UDRoHLM0aO4AS7HdpssTABZcSTQTPaHsDBHzyuaeIkn3
NOjepQONrsc01saLZaTZpcwG+9j1k7x3gmSMjCBPHqjj4ld9oM+tn0N0avMXjFxGmDEQOPCIRpAl
f8nKTXd1yXlx43e31YXecFKeJUzOaPU9yJaOjerZ3anx0TWyqOq9+pFywHZD6Y8cQlN5cSRG6T/Y
rddchzVzce631YdvodHi9HtbYsfdNuB4OBkMGHcm3QWbYR3yveFAZhGwV+6GovVYw5xu5/gU3GRG
jvULv+YzLnUHJ/FaBnrHxBHLhu2rnUGDzqY022a7OhUPfjx0Qm1nvKvHPNHrEXbwu3QG/0ny9Ztx
FuJSU6L8sGbtb6+3TAh5nc0JuOzqZzp3z/g5D37v/KUy6i4p1uSJglFvOy/AA4Bt50dt8z6TTYSS
RGhhgxxFWJG5WBLTddfFuy6uJoVAgLVLwwl7nMxgfByGPnnlikmOqC4zc0dfkpdu/F53ZyKZ8Zvf
+eYVKrbxYDGBv7OTZH6Y57n/3VPHVG10m6YvU803IwzH/WPPRvAjs7QGU5zd5iN8nQlNZcvIrjNx
mNNKGbu3scc/hjj8r/59pftFbBK7qSMog/VV1X59TNtcYzWeMV3ktlCnhJKIfQ85hdmcmZmvIuZM
ktMYKjGIsl9r5J9mU3nY9ZxJYceXYxu/OMoc+eGX2Gz7CYzp0uI55JwJaoFCFYtRcG/h8nCD+QMK
TknlcV8O5KTTNI6jHEa0h7M0D850ltGzXIhpa3MZmllshPuZtGxBvopLLB4jtCcMo8umoPdsM01V
8BCUreKbJ7tccZ7J7Ugr0RLsbcX6OFOBxpEJ19yjgsD0kOv8WnnrL8fP38fKGXcQgKw7sKjJgSTq
B/NFPtBrRcVqWnSH0V6biM5x1P3bdmNYvs/ptlvbm0REERHg3a0q5Xhv2Z25A72V7nw4i3eV8GsA
X1U8H3UKEgJQIpO1YMfuSmEWKL+K8ECdnwQzurd6Xk9j/BtK6VVO1ksn9TeWjSN9mV/40T9Sy3EO
VSKqS6sNeegNICKOUfn3pZbFsC2hJW4b4zaUIfARnCtDdVsyAuuhKgXt0X6JoyOXLjWHbjc8i74o
tliN7J6ssjWeC+wnIN5olf+eJ8aTId/C+NTGbnIpg/kZ7659aJy6/pxxxoIqm5gbIy1NfzRo+Oe1
8tv9MjciqpXyD3BqE8bUbHu/KVnTiK90ASSOFwOQtdWeT7Jsw6FrLpIUykEbZnKzS4JwN0cZeQ2+
+zAJ7uy6UBevQHDBt04Xmu4zdfTdenozuoxNR0pNBjFLXJhnzcqd1aBugnIzL/vL1+DmoNhebdtF
4AjhGIMTfF17cVdMkoK6POkf/RKHdOQgtUadFVT32kmFu4GuRadbnvr7PDAGllynsUMzs2iU7eEH
ihmayMZHNHzFq9l8cmE3TkgUzb6TVsCHewz24gYscuL1QsdxqIOq/j0gOu5mezC++Qxb0WLDQypG
uT4JbYzR7OO738wMcY92LcWDkUKr3jA7Kx7KtI0fOw4fEQVtRNLNstmPsYRvTqb6VCXylWrJO6vq
m1/rmGC5Tdv02dGieV5dQIwjo7pLRukhl7rAu4DGM75Stwyu1K1aD5ZvwHU2y+TnthR+VUmTPo9T
1br8z8I8dblL3iMXwau/DsOLXwRFsB2H7IeFpTyndBK8TsaS4Yz2C9I9DN++KK9qeQ1pcUjxxt+X
Q5aczTWh17Cbm7smV/ZRUYl2zmC9E8Wxknc6OeJHRdaCDxDay+TJ7FRxYHsn92JDBKV/Yc+ZR6kI
J7SImN0Ghxb3BmWOY5o9ogzqt8JBGZzFUt01ge4DYOZTfzH61EdOWWGI1ZzXTl45eH8wQVm3Tuk6
u9g8qhc8KAvcCjFZ1tH1uR+nJbfJQ9EhymKOn8pdm8v6kNZT/t73VffZ5o5hRrbB4GBDMaoRbDmc
56+j6QZbSy6AMIkbMW6vKi42MqmM+zbV6Vl4Rh2ZbqMOuH81OAmTDC6mzie2yXxHj2hJQ0d1y1Is
ciG2VdevIhNlKEvpAghaYy6H9XAu/Bn+F6VoG6mL8aB4CSTYpKoZNI+MIyen5GhZLBKaVyBaZh1z
It2rSJMMtH/OKSS2CLsCM+1fzcFEMDUMznf8dvtTqniO9ArP29QV02/Bgeccd0J/06GYf1KAzbQ9
Nm9AAKq+p+xqp+mwB4vJYfdfRZQNgS6Mg8uVF4qErm7xugmDFF7DAfyR71WHwhaG/VbFcf9XYw/j
ao1yWOODZ3YZcjFwpxN9ElCP1tj0YbMuRTfh4miFeDTcW6OluXgl1W0498hjVQe1SvtarnZwyESG
VZqQAu2+nPDzhk+7q2TEPXN6ZFrcshSs64ghpcgCQs81rlw8pLeiilWqaOm7xbpH3rt1YWZYeT3Z
AKR1J2jzZHIbOriC/jXTLp1sgo6HWyaDqhA5/11VsNJCaRGKXkVT/XJNpXe9KtkiF3ZYaKqTtu8r
v1rfrdrp/6boQA/GymSdl95+jvEE65GG4OGOrZBl4D9bNilPWM594zEvlrSBkQmBp4oalrCe66qc
ttouAUjFjXrMMJOd6ezMv7hacl30p1b+yumFRl1n4X5vTTh7kbSnUz6kRJSmSdTtJpg89dm3xOlL
mkQ+GCnxudIl8DUva55rjQks7tyk2Alp/yotBKiJNk9ncBieoGfub5WeRTFp3mwksE29iuRKgK98
mcd52NmGSk4KNvoj1edAt4FkdT72mLrfLfU6HJeqtSIF7G2IKqvp3u3c04ec7estKZIYR50kL8Yr
Mfs72DrFd8NxKZpAvB34qCanVo7mE529grhkMRDBmmmqhHM7DzF0xnmJ+63rp+ySs14fctPkYsBt
+JfltvKIupqcLD3/6U39p+vFq8EVgF6azDzapDa2srGdnTOxhBIcH9/gFSd3APWCe+rQsz+avk4q
mJtsOaNssTNUHKw3Ulj+uCGZeKsopaJ6nZX4Q1YppjvTt//2FjEK7HLZjf7pkem6zqmTupFnaYOu
Z51xtfcYZy4bw14cUgGEeMDceptmwSxXrW9u12nmgSuoeqEwzGpJI9wc+0+ajlQ6eJqdy8uKt9kw
9yg6hT2e9ACDpZsc6grb5dPgb6GeBNPNlotJsfeGhQwLS8S87Zb1S47ocMk+qJxPv5PTo9H69gfF
d7xytuFbrcpwZMbVRKhL9hu7U4idAapNHi/uWZgzpsM6v1V7FBIT7fqQUhx0otlAh/HQqt9LOSO3
VVCwY8VdV8y5Cu0W21gY14sfNhRu8Raa7rHnSItfmc1q2gwzW/JQWPMehprYN0ZfbnE4NDSFjpbC
eiLqneF0/rHxrQQLYpqYEJEgUiJl5MF2yuVshCKfj6vZX6u4S59oxYQrhQ+EO+BoP8RwUgc81dHi
Lbe2HdksoF3GgUJdC0Yrd22e2DQ4NTr4mITtEyDwvLti6VRIRATfKc7Yrcveezfmnv0AX9KD8pi1
H9r08hOeLcIUJIciHOZTmFHouyFDPz3MkyzwIxliiQLas7kDcb+6+Lhedo6e9InIRvaTdFilVBl3
oe0yRisAp71Wnlu8JMm4XoVI/Dfm9ZSmgM2s4o0ztnYkE0z1pZeb9o01LN+kwGpmq9J6hoBG5cUC
AZIrkDqaK62kCsB52OFMDWnR1HXo1DwqgTNX2X7iLLlnm86JW4DBCkXhxuk2SJ2E49aiv1hGW1Kl
gpzZLmgmjvbxmg1HptByxX3aqmrXZ/54HUyiGSXHe4rlkUcIYs0WYaLAncQlgyt+bpsmvpNtRZC6
IYw8Ta53T8QSHyJV6DvsNPSW6p47EFGBbUem8Smbmycadu1Xk3ht3VlfWeN9B2XgQq3w6J7nxNdG
t4w1BU+0KwxL+eCNsXtIktS4quYfj7st76plKh+yvnip08AitaLTv61pmc9+5zgvI0XkR8iUayRa
/RxD/GGR9qbrVE3GYSzd4jyzk1LXhXkrycdrDDj72Vurat8PHdGPCpUZQdd+mGpn3LueGnZjDyiC
YcjnKDvjZCSl2M9xRQ9q5+9Hh8coT4e/WMDW3wvsUVuJObxVgoazu/obzeSryFR1NKymjHALFmA2
afstb1FtnnAbh5y9pi/DOO5W5rE2/bhHEOFWZCz9j9NX6ymZJvtRjgMe265wDLXBjHao0Z/2lEiN
u4bIMEGuwZKR5T62bstVjEZ5HXZuP+7yxQf2MjBaVpT4lifZ4RZRIgry+qwzMX5Wgft7lCLZg5s3
j0sNzJ7iCO8CDZfgp3dvrcNBUNWyaYbEIbCQPqL9NswOqj1ZkksjXONXSliWpYnrsDXR1BLMejkh
gL0WgYOsYMBSWYgXZhlinx7V0SYUk5D14i4xl7/tARppYXdf65rcA6sAiZFkDRgK00oqkErSYjsQ
VHPfONirmx19awEohEmrIrNVM8ni6OGfXDFT9rVyQfbwidLGRC5CEjNEpOQ6AYp3/qoxhZ0qXThb
u/G4tI/zLmHN3Rr0GWlqndxfTVU7z16bQOlJwIBDLKLifucs+XAol0U5aC1NesvCFd7erkz3s9Om
SL6Bmhd8PDvlce8NzBfb8TPuWhq1rVh0VPC5VSF36WiVcgkI5iqkjC6j00s48XOr8K5mY9AEJLmt
I+Q40luthU/ZAlUJSHlaDgQYs+/Yj9kVfWzYG4LTTf4iiEoxcjTtNPhOMqBoG9O1/dCAcRCfvIz7
SZgUnjl9gjkrLkFCTOTIODuH/z4yH2FAS6WKq+HSFmQlptZCE/UGcuYJ+yGorfS2ngaQbwHQXvNJ
F8/j4LDasm7Ueztf0TSnmOANIXXP/1R1OX4vjeX+/qfbunOIwW6mgHNzz70utCiCxZ43WCHdu+Zw
yOlBg5fOj5rLoOa2GCvcJaSiPxCKOzp/po4R5uDf+Z6Lhk8kzHEGPOFrefYI6HP/bR/t3Dr2lfpO
DbKczLkeAXpTBlM/2iI59TlBAsecsPI6SZ1ciFJQyDyX6Wfc5i03Ykrf+sS49xfzd0f6eJssljrA
KMiYLi3E2PNgr6vgiyDm1W3nDyfuyePzweUTD633OBf8WzIZ9k7dNefAtoPQ63jQqwyxkULhm8nG
HK/s3TU7ZIFKlpeqirgGcFMdhIMJslx19WfVZEY6Kk2AkJJFrVMbw2vMncmhEa7GxxKH8Oim51tg
8jUZFRmkzEakLt32nGNgMMriobdFHJmzb25NmSJSkDCLP7gvVEaEK63d+oW9HnVjD1+ZmfdV2FG2
clqH3khC7RY5B9+MsXA7sOlWQIMYVYQkRTdLngQHGm3GrcFVx2L9qZqzUdbuczsFJgct9NPMEAxH
3Pyzh8m8XzQrLtrq/JA1bre1qBT4WHxubVXIKAtlg86q7NHrqo9pMu1LsppxsusHe/lSRlYcgCtP
D04weB9Q0k3EL8Z6HIlWN2zyJTAe5lIY7YZWtvFWn0bNAhRu2ruQhn64m3ILofLunOkEezCuT807
KVLfjGLXLF+5wmUEm7t9sVghuUfj5ASCeUGvi9dqaA/dqKadW01vQw+bqm+SVwbIe2VK/1AyS4rG
tQM5it2d8GvnonHn4pF27CFiXclehwZQAjA9biaaB21Tekb3t16zs2pvAZeMFh+r29YwjyOvmNiy
EfLDVWYo8KmKUsumug2nzbhxLJXsgqW6dTfhhvFAlma/rBEgEKZGNR2oBO8+jDpAW/Wc9ujmVvu7
LtBjt7PFAzJlHVjQqg30cwlhdA5bcygORVxwa1jphgcdX71aMzzo/YhYR5LDoYEHZAYl6rWXXNK2
OBNH4GQBEhwmPAmp0qrKw9wFUAA6YyTc61TTeiUEVB8wnk391kqldZCFUZITb0bGCVCwP3JWxZ/V
7Mywxlzz7KkY4Mcwq+zkrg5LGF1CT0PB2EzTCBaxbogTAR8aOmTbOMfO0k4deu5UnCfOMXc0mBHq
H3vlME1LZ+zQ/6qvHwyL3uOBtzwU1vhWELLn/rEShYJdsp/oIORYZx3xabMNTqm7d3tOUBsupdYD
N7hmk3ZMFfW2bddLrYg9ZeJPU8wi7PxR3Be3E++0WtkVv15zpldpBHpR5k/5unoHPkr2U4Ac9Oak
lh/JQLhbqVcYWq4LQWHtrdAtmjl08px1q7aKe3xOWJF9GhapsphOrLhzqDnL7UZW6b1nF8z9m+42
GWtj871EbriLmQJtwXun2zqzveu4BtkDmU33h6pFIoqoemweBdmqLSgIsUknQTlYOk5bNCQby7oJ
Q6IQwwdgCvfZ5Pm8pMrkUUrsAd1hba4uVq1NwxwqZOfptzmLLAKVdo5GaxSoKcWSbSVph+esUsV+
7L3hvY1Z6xpCSTk5TJxtt8Q6r7gSY6pvoQQmS4k/9JHfpD8Us1qfrpbZ42L17ZZxIkhkjIobAmdu
KH1yzJYB7dstyuYGgF9OqZBsOUmj+elMTSu/xSQ+a0lRn/btB0KDTzxQqPWoSWFF5eVTKoiqbse8
u90cbumdM4WWqtwrbr3jvmHxhOna9frAY91yfKQLYTNVMj1SUJm8+q3RL7eNiGRREwDdCAXvLJaB
NbivtRnDxqq6HyuBto7mHvv28Ejj23KsjdkPi0LojsQdxaObdMjiS4JY9MzTlb0XtTI/aP0pt57f
k2AXLnDRJl4fvbopw9YfuV/GCxHSoTSND1yXw2uxWghTsmqRw1eTYsMOUgq2seRPkKxyq2KjiAJv
XZ5bYtn3dVVXVKwQvPb8rr+jXF1xHzW0xfjF/OeWPIZE7tqTyLl9Ebkr71xiN0foJRQtsIfcaLdy
2fUU55wRWobjSjPRd5Ek3pvdc9CmmoyWZiCb6LA+PQFZnu1oO45Kax5/C0zyx2yyYrBq1gR9NaWS
ICbL/MQTWXKkdrrPxtP5D3AStHT64J5934KPsHDfUduF8TEOBkrh6g3+Rv5boJK8LElMEx/DDSKN
hh76Z1pV+7NTNK17NmStCeyYVAy6Yhojl7vWoc1SJuhrYTwtdnoLsxHXOtAGU0bKG/CokBngBpz7
LzFJgXOqKICwTB/RprQmPs989IjEMMQETvuadhUWEoGFau2bB9GIV78Wf2ysnS+VEu21GZ2YBMqc
3U61jQ6dLHszRKcflzHxX2zITVex6Gab55cJqXUHfWL8KBqvf3JNe/4QMVkNQLTjyW4yGY5+PNLr
qD68orQfFnE7H0xVcSaiZZ3qsjf2ZZJWT8mQFWEMI+m31nQltpMFqKrSGVcVg9UBg9WBuyEAw1ZZ
Q0qu3nGPpd+3e00pxGeVtBQZDstq/ZB45DzWK0NsSs7Jp/zW8FY7HrqsQ5MuUZY1TGg/ClvnZo2o
R8nSlKhjpTx0H2/Yd7Y/3qkpbgAkm+aHG5QNay3fVQXHqTIviK3ZSa+DvUOzzflb/ZkiO6M4JhRh
Pym/7aMKfulWpLU8jSaSRl7/ndBrvJk9o4wpYuQYHXSbBfIP1IrUCOM+rw+th2pM8/wndQ+/cSn9
kaitNBL4BJ3N3exjUWt7L9+rtvlTeEWzCajZJYNJYmopWPwWZ0sXBU1FBDr95m2GHSzn1afhgMEQ
FXoGc+M04iMbjqZDjso3j6VWzxQ+HnAMhb6h08OS1yVZ3AwHAlOhAZQJgyxJu46qemOTWOKwGu1d
aTuHMV/unRb1G8wpEyH+ykMvyS86A6AzJu4Zl8lxzL+oe+koUE7yB+lnxbPF/OvFrbkxNittZF7V
mPv/sTaQCzpG95FfDMm3SFPnoa1tY7fKpNjXfda//mPO+3+dGPn/idXn8XH+D4fi/8bqO32D8hi+
i+//zIKY//qqfydB5H+5N5YpmQuK6248vv+VBLlh+mirNnD6GQb+wlsJwr+TIKb8L4dL5Y3gxzeA
a53f+ncShBYEWuyAsfI7Dr+gjOH/oj78v3tgPQyVeA09G4sjGPR/ysX/w4Lq9URWfVb0CI/yYcGT
DvnzL31oOyIaWxEPF3JLf1tilpv/eJf+D9EC+U+04T+dvlDXkVVcdCDGi7yW/5YtSFLXXr2V4hyP
D+2f2IHCOTqOw6XZ1ZRdWcbq5Bx2HM/e+JlYr5RAziUfrRSUiNmrv45Lcwv20xErUl1I+dHIpTmh
yFuggbLFqbZJ4qLPsj3LJ6ds5x4Amk53thtji+qwnqye9u8EFZM7YODci2rq1zYlh6zN7HWPU4Lw
BO7uJzcYU6Fv7SgdBj8nUqw1bX1dqqraDMSSPYHjfkhn7olzl1/t2fQ0BBNtnzE+mU8lgYaz34ub
Bj4DUrJl/pIEkn8vXuZ+P9tedVncJipUfp/bef9QKN6KOVhNsrNwUAh+FhlfPC2s5MzI9I/tCed1
8Hvc9f1oJo/gurp7t64oroV8sbG8jJVaWairWEnzjV3myRsoquDquXqOsEopqAUNKVhrvCy0t2zj
Zkg/YFpQhV10tO9CtrOb0NZCPk6iH/7GM1k/zuZBl0AQHILfg5p6tNPJw0/QBQYtfcxYWcd4xrYx
rQjXvmlv1CdnYXpZWjifNhVBl700ZHqybIOzK4Ole8vh3m2DUDnPGT14Rgb/OLIA5zy1ovBDz+mN
+6yfcQ+puX6ak4mmjTVJB/b8lk0Yl2VNnQ0+t33jjPO9zuWwQ7ugZ4Kz3C7PhvVUz1q9trX0R3a4
HsyVb7vNmzULrh2DkExMikmJPfPqoHlKLJtAbeoUXODKZRzirSYlDC5HBXRcsX8fPAMES4h9ZX2r
SgvfyCa+uaG5spgDhHjOQ4/8ualFyarNP67wXSNKGH1gvR4CKt8mtDtDi8QNR8a7oYu18jj2+oZ+
rJucTJQ2mmLT03CJl/XW3NQkyn1zFwScaM0XL4apWDNQnweJ8bnrEd4btoJjTHgZcbxx1QNUzOGr
rS0epKI1PhCG0z+AHtQP70x27Ys6ePQBrtGntZTMy0kzpx/s4Bn5lBEYhcUh2tl4hqmfsFvwr0A5
NvEHFcEQLqXvfOH66EFk5t4cxo7GJ57pHFdbalOsjXfR2nFcXJ6tZrWvtUladzuZ1rDigGixsayB
nn9wbBKpzpNJUfpgBl+9bNL3DiqijBzZNTg6ygJjZcBBUg94v/xxNOeI2Ob8XVEd9zqBcYT0icj7
3WZ5W28UMaqtSVzdDT1GoWBsKFD6I/rMfE4HVb0xv4sv3mz7H/VYWnjY7JKUvDXZ2HjiPODSbGqC
yOR3q+fGa6FGLSPm/wTrMlGl3Cv6bW+Plb3LUjnkvO8l3mNv9q1NknreGqUGuRfq9lBtOaiaxNsQ
vxd/1XqfFml3RcuDsBgkRnlai2I2b7MdVpGCedK0QbIQj4takFXMQhZv+SICaCcGEnzo1X7zYxhd
bWzJGVaHtYVqs8HO5i+shJZ/HClQI8I93jwlKpf5k6jK9MkafHcMOyjKaAS1OV0yLB9v/EgZ8Suv
QkORyotix+ueE8w3W0c5E4ZQt7qURLmjlaCst1He3H7AXm+YFbEMfU6G432xmPMTZfRMopWgGp4u
7hsCt65OaGhLZkWrr2BaT3rVmAabqRzfqWDKOSbewihQ5oEITV2zLOgYGNm2oCz9PA3e9FYaXY6U
yCy7J1gSoKUZVmB9kt/XtDWMrosCbYqa6zrXxYc8wKgiXKle5TIjRvZUHsooRnb/mFBsf7fJylQB
FCVLekbKD0GHBgY8dmUKywub1pIcTRquGXDZNt3YzPLSp8bA3xVxprXvGu2Bq+1LGzbTIm4FGgvT
fvXQNVWGpgJG6XuKu5mGrSTu+qi2anhVNToYoqDPNMduyepOak1Iydi1cEIenA6dAHEAk0gDcwsL
JD4CpriQKrzFpQ1Imi5i6NzhKMKxVPElcr0LgEeHypLxA09S9+XjKHsQRee/cWGt7jR69Gnl8Edf
Vu+VB0ov2EFh3izvFZTAEUNaNp1JBMk6qgpW6rUuoFLTLdtCmHUd/3dTe97zXKDdZo7hobhy5Mb7
Nfrd32XU6aXzbJWGGR7uSBvBdJbVZOKJYUBgY5d8r6lbwyQnmyzMfbadxCuTAn7/eqJhGjnQH/sT
rktMg3zn39j8oDum8Wb0DRfeIgepX0nslmcnHvspGrkdcAexb/W3lnJ94xAnizFt8MzE30ayIDKN
3lAs9423UB4nPQ01yCadvoWwmuWcy2eJoZO+GXI06fJhr7b3wvKrnmYEij0pseUT1JB5D1ByxuwE
4vCzgkkBt7rH3Qib4Uam0PC5jNAaTcoV+6VgKOMJo/uaRnd4wo+oz/EcW0+G32PDWyYRyjhbX10+
SD/cHGLGEkzRKdQs9xaynQplw4SCgtOh+70iLarQbXvfDQPkHlwCvWddMkpHn8E4jMfRsIryvkWb
+HTHNP27FnGVUqDYoumQT5e8cXl663wfSC46x3V2cOc1SSzBESrvm90lu3C5SmeWLexXM07qbqWg
fVAYjjdtX/iPRsyWH3Jnd2YuejXOBmF3NDR1tBbPdtnzIeDaM/ci/wabGZ8b3bzjDEE/ovgQF70J
57Tql3THwQB+wjgIX5+W1PG4s9vpFLaLW3phFTtg+aiWVzTNlQwU44UaGsgDTGEt+dNag30CCyuB
RPhm0oUxZKUDfg/vfnTMz9aL29ditp1fsrCCktgNj1kUWD0+U9PikMDQ0x/+Sk9gY2lHn3Y/J3Pl
1bC9JN6N2l4WFPMEJ0A6UwMZkcW0YHhM2PS4cVZUEhsyB0cM3kk0p1E7zvs0tDxRFRYcDkKlw6aP
9kVNiQE/DD2Q7ZIN3vzbQSppWKfL5CPrakYfYnTmRy/D3/g/2TuT5bqxdDu/isNzyMDGRrMHd3IO
TkceioeNSJETBClKaDf6/un9gam8N7PKdtQd2APbk4pipCixQfPv9a/1rcCc9bCLEwKvG/wH9Nll
dERdwUc13sOk6QFz4CsHFEpoYguprXu1axyZG+oAjdfIcOGL2O2cYsSzeQoooeFNWNiSHgA34AGM
horZRFrL+G3MSLJuZ2yq7WkOWRxsuASQ+bM0naMbsF72vVnki7/PR3fMN8mSA3aBcFyfOld4H+R8
2C5SL7xWMAZNXamt3VnuHm9t/Ex5wOrhg5INGTCGXITHbDOYc4NnZ6I5ihQcPYmdZfyYrah6ocOq
6BxoKNIQmxQm1SbqfL2XCRZNYkakFpaKf6yKxG2f+qzmXCcGIzOgtFDCDECuOEbKgW46p768SyvD
2I1wUvaibfKdp0LJK3cIL3PooOZ5aKV7v9E/1CIs6JCl/QsIcroDbQsmqSk9dYEy05zTeBpJTqS5
d79Yc1LuzE7FD8Zs6RvRj/z8uCmeJjnyuMptQjMHv03n5xAiz2PbdKuLf3GmOejdqLU2FkXOv9D1
+h8yRuHelH4ba0pJQpNsK6ebX7aPh3e7cLrGBjuXvGJbIRGHbUgxwiCcEAmuQra4MOcCq5/HX4nB
Dqhaav0wLjxUNlURVivrAj4NOm/E3jDsukkcewkeKYDGMl9JLkSG3lwDKly7UM0sJuzgSFQrXmNF
nX/VTPM6yJZ0ME9Ok4NIsVzQWoCD78t5YU3sYTfAsbnAfq7Jz42CosoSyhOu/LofzU1euNgk83Dg
fT8nmMi82FWPZTgsADuA+PgbXpR5TdhroDi7tGpYdxFLW7ySVc2EZMiZH60nSzxmWu/J5WbkxrPK
vCY5BNSnawvgP5HT5s9z76sWm2wf/8w8qEib2guZiihNZ0S0XDDnm2gU5ZPZ2/nj2Jr+h8CleBxn
oIrweblHC07GJV7mJn1LWSmae46xzi0kptna2EaRU4sLaOdaRdSkQpNTQIaqwvftYBhDycNBstrg
NVzWd1he0mHbaS5D1qL4aNze4JjTysa8CC+prevcb7phPzfSfPSKxmapm/8sFugJm4yNC+KkRcnv
ZtB0cB8dN7Ku3GaEzNkNjJBxNyr/KtG+eRU22AZ4LEP97FKnubSoY2x2MomDXDoc84apSg8JzIjT
6EfYW40y/UD7NSlvp6b9mlOyc4cl9NrygaiNdXnSQizg2jMsqa4OOg5fu9IeEXZkfkhKdlMgA8Vm
FO5tyw1wm0ATwO/SVbiCcdHDzFJwX4c2JizYZaTLFw4WC8ZOAlL9BuOKSYanSQ5FbRV3mIn0RUNh
DTqLqRGv9dyE/DOzzM8l3PKdwdJmA/WS4WJK3VtahijwLvMjoQxrmzJfRm02Xii/NZ/MQoN/kWBq
MfW0zwWOuC0lo+794Pr+TlXpvHeK6RbE5zQGwuldPMiTOrG/lkAVcY0OPKGUGaiwTq4tK6OZukn8
ZWc2efEVlxvQlgH307YMFQ5KHt4//dY71DjkfuECzy7RgCLYDYV6KY3Bv/LYnn0XlH98QHTEYscP
iLh6yR+RPdvCKgGKveNvzIzL4tqehypesRcb4rZ61E1nHgETYdUb1czqXsfsoagm2Aw07R49Nx6+
IV1mr2FvLiOritn4NfRe0b7S5q49BoAE4mIRAkw9NCkmZZ6kFMjDhI4IgPRV/mFYXUONVcxkOcSK
F1g6rUxhq5qzcZ8PTJNZ6qs7Gnx8uuv9ut/3zjhwxjErtiw9i/6QYyaTQpCt70xso5CZ7IrACSYn
e8wCZqT2qvp87HR8aS+dK1lokawMzWCCbxvy+BeLcwR7Vkli/jY+bVG2rB8rr8d6YBeW+9ph1/tZ
OYkIAylUNgd+66uTGoCfHomRtRH8vJgherRz96cfsdVIUHKu27Edv4KRAEZlmjGDaW+lmLi0JIUq
ozrBxCzBqPe2fQ9zc4CX7Js8EkMfp0SEl49IZdWyf0rAuzmHBCG72qZ5MYiNOwjz3DcVG/luYHrq
fFCo+9KYuh/I2X53+N+ifP7fx8qRlm0K10TZdPk/AkrIX3TAf1JLz28fb9nfGk3Icf/zX/BbOFVf
KHRFHORZ8VlvgkL4u9/E+WKLVWOl5JKMtOVDCfgtnNrOF8e01FoaJUn2O2u162/h1BZf+PJ4tLPU
UNQ7Se8/I5zCsflbrN5Y1VdESQTIv+eziXSVmZV18TEfPb3vLbrENmzWI0WHnAYEZytOP55RkDm2
WayZneNdlWLdzQ8gTL9yKDQ6aFwzFO20T5bjuNRDQDCxZnbORL7N2t5kDIpca5enhdoNsoqvh0ol
FMHphWJBkoSvqJjTbciG58NZqu5OUIEebY0GPy4cKTzmwZSGsIUtjlSvLAstNiK5LvdqaIj8DlLn
1V6JxXgeObkz5XlUC2y6kYmHfZ7APQwFN/6K/mEfMIUuDANeoVhMDtHXqfJAv4L6I3oWC+su7Mzu
IsC3qUfEwjJ7iKQaCKJzuJoCVd7Ys9PzUTNBQHNT1s3hIG9FCN3Qmxfn1i+99qrPmfmUxVNlo+rG
Tvf1MmTvmtGy3Fj4JKttm0bpdVop91wUrbmnfDe/soyEB50uw/p2kiYbQUCO9kNKGdo3vo5wOTu8
cuttOw0h7p84jqJAyNZlrVnp+FthFOZ1BIAsOwig9AUjB10nmFb9WN7m1iBvpqwjRTsq1jZKVUm8
BSgoioMqJUtoBlLzOSUzNyO0YGjYMqyQFGxWp88E3XZoeU2zT4PqR9ItIgKJ3c7vjmowBKVTdTy+
mORrGny6ns/arjCWw4AkTlNKQsikrYuvGLgYlMGGze1e4xV/p7snHg55nnfj3izd9MoeWqwQbJOg
4kalwVPSEPOBXH/0DY989wS8uKIlItLyUQuFNcsoY7kTWK2mHWw13E443fnfpWz4xXMmJ9kqjRtl
GuVP1o2ifVkcsCMgcgwJAqJA2u6CJNa4Z7Hx9FRhcNibnmgWYOuP1602WcppsCx6qGALdIbBMrmy
XlvHT26Kz5Mr5yF8HoIzbX/MEjfpADIn+L2FNeoj6T7Ar5HtNPzWxpwz3yjix74q65vcisWpyAzS
+X1Ya9R9I+OEpDPmVhohWsFJE0LBlTvltb/hF+PYd9ZS1h8dpIYpIHqIiUz5Y22DnmyLS56BtR0l
R1mgbML55RPYkQy6rat2dHXAOWfkRc6tGR7rM8tJR8A2isTz4pXNXe8XbdB4DXzMovXd/awh/QWS
ipGdihmVCZsCQHbdNnxT2DQ4j/GT3/VWjPzV4JnMdxP6WgYbOzd+5b1e9h4u+ZOiCYkUBH7hPTL2
tGtYDDUbyeGdPtKJcytdJOWbzfpeXNIhynfh4E4bPpo4tueQuYsKT+6GEFjIK69pxDbUdXwJqe04
gSuIbjNTU3kzu2h3WwREbNyNPXKsg/RURd9S6Kk8Mxq7eqq4KiEsqjD/hf9e3Dc2qYxNzkwf5GHN
aYW+m4AOG7FrCHzwTMLN74LuibahaZlYv6IGijz2SnxPptqGVULNmcNN+gZfpLnOpoUT+WQty9Ho
LIAGkoL7Q2hoGPLYKozHgYgUYIq4dU4R9wd19jxoxaGz+/CKRvrmxwybsEMutKJ7JCIwirZI1LUf
lsWp6lYJa5pK+2Aabb8dCLzuAUJNuwhHBM57+IgbjCfLSaas/w3TIyPNKAjrs+1v+KLllYQ98t1L
unpH+qmAcp7YRuB0+QrHwGy/UfD9ELwI2Exp1t+zfoCmoG3IutR8EheH25rcQQvJd1alOCNQOulc
m1o4u9bJwp1ww/eJrr8DK498V/aYXfCHR6+i0d37zLLQ3hiwn1ZLYfaKwcBbnW4tmyCp06uRMqPD
YmAxn/GfPk4T5+O4s14sWGd3TtKoYBCTV2xC15lwWA/jUVZ5dO26VcbP3U2u/DhXMYzOhIqLzBTP
dbOgrJVJiWczMZC5Y7Yc0caTEvm7i9Lhh8oS8x1j2hq4wYySqYk9FY/gnovIToO+GUjHCSNJuyAi
1XQqsXGhYeukfISSjxCRlu7FdSf5gGXIPnluCwi3dezdiKd/3kQkQB6RtlHDE59MlhtxDvCmIX6s
rCR8iV2xYCgM+2pdCmBsb/sBiTwvTP21mKv4yg5j9zJQ8EwHFfcsGGHXzG4cw+6PcRLbXxOxTD5H
6zS9bfI6mgPH1HAtzd5jcRLNbRD2afcwQ4j+xtFnuCgWND+4d62LFTfqZ02V956CHZwKrpg58Bqj
tJ4FUAueSll6wjOd3lCFzQbIHJTcUlNAaLlfsZo9HP8TT0oapgpM4iGG902mjOkkKlrIw1xO10bO
N8sLGON1SDgHnGxU0ikAsPy5qU3uY2Os871J4RtB6C7HlJ77j9SZGTA8+kpQbBOP7h7UfLWNbTHd
lCwdLdDd6JW4fePi0eJdvXflkF5KKX55XkP6c47mjFYs7AFkdoyOAnOIoU7Yu/4JdL1sQFzK8cnJ
nfInyintDlkD7xKDk59u+6GETy+n+Q+0z//L7gGTOlFPwij6b3+u6P9pJN7Gb8VHEr01fxuL8an/
/szfs7D7xffZd0iPvT+LlnXi/T0LuzAjfWGabO8xr3lQiv4chc0v1DOaSjnSZ+L15X94CGzzCx2E
1AC6bPwRVCz3PzMK/zN1EeSAYuJWfBWmlP/Yy9nHbGJpz5sP7tjU33Rdet9rZN0bXzBEIAs200tn
mO9hZjU//cbmvbuOTaj34HtlO5Y7ShKanceh/ntjDSVbjSrCiZzkH04e9c///6hWdIScH+fq57/9
17cPnRRB0tI6+6P7qykFDuf/+kq8f4N90nE5/g8+69+tLMJzPSWhQf6+1v64CF31hWsM0CdnL2zD
n5faf1yF+HO5apX777jT3wcyYX/hanG4QG3b9C2Txt0/b5PfDpL2Hz7+K6zSX+mof2PHYSdRHvcB
94jHQc/9B9xoaVaTURhduzfBfOYHI1ypzPjcITS3qnThQKzcZo4DLXSJT55zzZsFKOiKeW4bnvos
JyKfgGBm70eYO2eX1oVkq+eVEe2NTcV+clzZ0WmvRX9WEKVJBANZyGpv7A5zw9JzMwwVFWERHkPU
F9DUPUGrJkigOJ5i1VasQXqtq4OLjPuyJBMSF+6+KdqhQ5as7kowDVuzCKMzcrv7btc1YRJPjYdp
UP5lyUjY1fgWdrpasq0ir7Sr6j67HwTYfTQP423+pG6beei+a/KR30UfsWCBppzqjSbMFe8jCbR7
ML30Ofdxrm9qcwV6M/Fl0BsHPT20K+w7mZ1GnE0PBDjZlRDBep5ebF9CCB8Ls6LPp2XE038wxD95
4oTLEc/zbuWMu5/M8QEeOvpRs9ooIyAAt7qxat5bVq9eqk9uOR16rDWST575mNV9RJKyab7SW+C8
+J0F7agbYzI9sEHWfis7x4jxSUo3sP7a1/5AwdWhLRAZQTQVDSHVon/u+y7ljNF1Ld9AlksaQibM
mXVapO9212fnJZXVJV9Z7bFlTd9UD+uG6W+FuY9TXVxV6Ohg/6oRuwyB6CfdFpQHLCsDXjs9sl0x
1+zFTeT7p/gTGE/PUUTUWGG+qxdZ3ltulNY7voLpaRi7/FJUdXxHJVlKkzs9AswlcOltDpTf0z9o
9ZRSeD4NOSvG3l+J9n1XDc0Vxm7LIGozAb2HYzuLo8Gb/M35xOKrT0S+5VVUvlDKUvA7swaa/IDj
Prb1QCgcpWwGRSJToP5V2XYhZk52JFv1CeX/5PP30D9eUlLWZ4oZVAY+fmX5D59c/1jNIty2tCUq
jgVJYR/GP+D/Y2pXu+6zFMBkcqYkUvXnVktxxx7X/5alpJsVS2YCn0XLpKoGvVyoZqNsAPxNuekV
jJVk7SKwqGa6ngYKIQ45HG/0f9xnL4Xos2vvs8zAKsl1MtJ7gfVZdtD0dneVhDPRcXNa9z6wIXa0
ZbgvKkppYdBgS1iK9gbNXdXQK0ovKkH3SC2ak29PXbovG9ogzRIaPeZ8gzaGcuyie4l7mtxSnKrv
5pjUz6mZ++/u4MtrbxywHJFT4VzJioHGHf+5HxJKPZHbJbUQlnyjCNE1byO5zm44OvAsq7VEoi4W
+IlZ38urZpArXT6npnZvN1X/3Snj9j1OI+B2+Wc7RfPZVCGypbePhEzwBUSU4DDImwM6a0gaN77m
mDaSZkm8nuUCYbFhC5iWBf0EUYuGjM+2jHotzpiRfK1AVGufhvIt5kgqOrnNY7Ob4ZKbCu9SxQX7
Vkojecs+uznEWtMx1xR2pGt1R8Edvmw8kAo/GpcGeM+rnMNk4n2KVQ96S6xFIM1aCeLPnivZ86xN
IdFaGmIsALJSgu9bDoPqTI4i+sYVlW4pHeOq/Owe4WUyv2T9nKMz+URNGxPP76bOInFwrA7hi4jH
j7SRE8DJdkWyUHJSfPad9KmFrUB3Fj0ouPSWBx42jn4EUhO++anhfxWf9SmuVzdXLVuW73Qdhf0G
PwVhAzPXxnNt0r9CfMX8hR2BQIefVug0NUtgXHpUt5jkLT86u8YakH1Wu2CmyPwn+Vn50kM3MFgz
t7O3hre4zUZcnhAyP+timrU5xls7ZHyIsCSq1mYZUlFZID/rZtrP5hkneY06umhI8otNJ6r+LV+b
avqRzhqxttc4k0P87LPSZpQ1WQUKJ0gCrdandVUDn0FhHTwSHy8uKkNT2gzA/k/Y22nNWftzOuCV
Fey10ecMCpLg2ISdTB5MIqcOfzZMnrA9s0nqYz/fK173p2wSBB4zuVQW/jXT+sA8491ix7dfDWPQ
F0xu5d6u6XjKo8lPLjruyB93IiKVZTtj8QraYToWKEL2tl9bhNzeJTqRNKW/M5ZaEVYZ0Ewfo7V9
iOOn0AFB6frV+aOeqKUbehumePwk2lS3TSZ863jaPE0h5Vpx5AyzX++cJbxw4KQCifwzdUh+5/HU
kgYtSdiWJC/uLDzS5GhicVf5Vq69SpnypmthCHHEDQLCT/cxSXt/gJFHJ1OYdf1LO7cjuBq99iNK
Ck9hH3IfGhsfk8TZGRobnIR731NyF9hu/VxGuL9pNiMyk8KeKBMnvE7spqeRoZUfU5yap4giiS25
K6xHQzUHck5ooEKDC2vvJ72J7wRijYOV5KzUQsqmtz1+tXTjRJN87rKEMqQSGYdOUacFqyRKOdon
6TqZvZ2xH1WnUVKVzCKspMvTNrB2Yuqc7XobeXkPdabxqQyZYv+DJSdGe2F11lNc+cayqWjddIhZ
5/70deHy+QjxsIGGGBh1ZEwtDLEfsLuyYw+3KDM9Utll7ATBRq4VauZgPPgBbeReG+R2kp5KCil3
cZp69xk5OWwEYR5g4KItz0/ELz8Ju5cc4lAwLXP7btAiCszAlUkwmqsaLJ3Q/erhfiALj2dyl+Fc
wLRL0tk9z2lpGN8kdY/I1+OQlFsgz3URiDohc1JTniV2mgsmCnRF488OeoRNNr+JplOVGPbX2hqW
hKMsTqUd9hq2fF7MeV0tdvvTr8Gdajcnbyj9Kj9p3QIX5IkweHssRf7tQmRxrYRt1M0I7eNsdmKe
t53Vx++6au0rp2k4godQGN6JTkBC7FQ5vwKJ6tJglt26fDP8BQmARZVHZ49FAzOpa+ZQPFILiHMU
/IBsb3pjwRDCKZHZWJDEBGZAo0NXovRZbLqifWKIoiQ0A+X/o63n5nuPXfcKZKKPKYcoFCIuHoGv
GHExAUJBpRjHsxyCNa1tpbe9Z9Ejw5qlownRiJeA1UXjwj9MND4By09xRZvQVsdmffshBFFAhp2X
p3uulxuaQxOxhenoBxqp925US/nEKogtKJJuefJpD/2ejnWfHgsk3buBarAy8CPREHhEiurPSUmz
4C2s2OgG0QgZ3KbM4s1xVX0nKu3eh23jkWQSbtcQ717gjulecJ0MDhJPZue9uR/aNGBNjxuXQuWR
eKjT3DkR0BioTyySsamQ2uMx7jzh5aXcEaARLUmQBLN6h5jv6+fIScufiGsk8bJu5nERjet0lJI8
pyqu7/I3BoXwfh6mOTr77BRZj9fsCbltCMHuMp2gp9GdiGmAB/RMjSyh/acsxDfKe9nsbnscndcI
4sOOW6D5qXvHuh8zVsQB+l9+Fy+T8U3UpnoSw+QcxKDUzx4XzLfZ8Mdr33GMl9kMMSkSLV7uxjLt
sVtajAuy7gSCEgaVA/I0tqZRm/7JpBTzGQwJJSE975hnl1h/F2AlIGIZ5WaaHZBISfdJhaFrS1Sv
IrkPboRQngHbj25yWNZHKEMaD/XAbqgcYvuEh8mFfGRmThKwZ0CXY2dSo8rakIKuls7Nrp1ezvUJ
ixa8sSQFsRYAalK/hmLQP9rGh++F7FSIXctZ6kmyhqJ7Lh6nhmqFmKZgFlwAua4SSHvYB6mRg825
jOOA/w5zufHGFsIjK4PAVQZwVB365ot06aYtOecKVKjplv73ehot/97BvtAeFFdaJfFhWI4HkKR/
wzeAZw9s537s2Ix0U+7tIoHf8jCRVToR3BdrEheL6pkiJdb4vS0x6i+kuNiK00q8MX3n0eR9A+Em
nMM7bM91fsnJG8H0yRYViXMusfkdYj32+U774BXBVEOf29p6YPGCLOk0SJAFDsv6Jl5KxiNaknva
Jq1Ky68dC/TwyrHaIb6FMtK7uMfCcDymbdIFE/XPd52HaefsO8wkj3PO7v2gMNXZ+3Za4uTkII9T
EhdVjT46TTjPexpW5/ZVL7P5ppI0w7lLPD98zdwIp7gH/NtjSOrskMp6AneYB4eWwjFBvVKytVYy
SLzqzOar7Q5tt226ZsQrH1ZrMY4zqzOv73o8Zr4FjXXWVgMmgmhTiVPx0KE/O4yB7vQQF5h+TkCc
UnMfN5XtY/7vSSeV0hu97aKtkvrgTJBAIz9hBF00uge6olV4BbZ+6veYl3l34S7zwqui7udabGgj
hIrDm4FOTJyBefsyZYzbVT3N+oY4ufDocIqdBVV27PzqqjCpXj+GvoqJrDnai594SbntSU4d0Oje
HMfzMAJKJ0KbtIP+FruzTN8t7uHyLuq7mWodlnwb0GtIzGbrDpe0VuolZbgDhT13lRe0fDt4n2Av
LEcr8nE+xoZEwfdDx5ObxfC6vScalNzFb4zrRGcvig4PAm4WjYlxVvFOlGH1atiTol3KXC5pG92n
Q232tN1l+CNyNa4LIHugSG1yqzgAy1Bfi07zmiow8P9aEma9k+URjw6QGFZnQx7PP1i32PapHa2I
gdUcWorCh/6Bta9L+DKyef87M8wRuzbIrsr8vo/QtAMMWdl1NHHHMrWEwPZCttLuFo7d8N56fp8z
veP45i3UaFK6HIXzY9I2xG3bYY6eWgIj/D78JXU2eRJZt7Nr54LtYQGQnc82k40sBtMI4HLBoit1
DNW2a8zpMEWF91Hz6E92Uy3ab60lOTEhYTdv2nCLE5weA5yNF569KmeD0+nFcjd5hLEtWLRj36IL
2vd1UspDUqX6lFK4trzbFj8Od3Sba67L7pGfvDrCPzX5/NKzyt24tKfKLKa3CHDB0zwn3fNcR5BH
rdQSVwMEKPz0uHi2cJ3zF6AeHrSfBu8WHFvL1ME4OLDiCrzf+VfV9zXPJdvXam/wjT3VUcb6iXQt
0BGKriFv+OEIH5LDPubaEFRk5yRY+zBYmUMw4mjmiV0rd/d/Vt1c1fofJeHBhBwN8ttv9X6Vrf/2
we5Tcrzrfzbz/c+2z7s/lbr1T/6r//G//PxXhEvLxbuEdojk/T+X0b91HY1M2Sqm/1W+/Mvn/iFh
+haao/B9/sa1M8NycG/8FtI9cnW2JQB8I6j/VUe3voBlhVZtqzVu5ymMIH8qmP4Xj7S5q3zPXlV5
PuvPn8O/oGDiXPlHBRMh1OJdZbqe9JU0/7FyIERpdGz2nFHqoGBSPLAaCxxeXyr0nLd2DsUdiVMC
blVmAmdZ8GKRsnfF3pZttx8dGN0oKwBxBpTIMMX9EFffejTOYsCsTOWbE8TUsJwwuQ3vcdJ3JzOF
C7BJu8iglJpTe7oZfGc5gVVcG8dwwt+HuWXvC8zet8JGx8tJAx6pW+SrcHtKfFJaHSHojkejqJqf
uEMZkr2MjhSlExXkyvK/ml2fnCMygLtZpElAKKDea2ETteh0smu71L9ObUtRir00ZHdS4xCntvpI
NUMz7lS6Biwq8A7l3JsPkGwSen7dGiCG8PAST0DKZDcuV/CjMWEr+FZi8UCf2znF05tYNG/Q6PlC
CfQxRfm1JKUA/XPcxhKjmAXF/W4kIhe4dVVe0Huqd1PnNalx8ywXrG3KvIH5th6M8+My52fc+deL
M99RokuCS/YXr8huDH5zAYVH4O+wTFJN0+DiTKHhlby5ch6purqp/GkEGEI91SOeIBb3JWIQBHuZ
3IkyvW6wk/I01eTxCgdZ1oeNRvvPTI9Vx1Q/bIpelG+Gbcw39DmHryqdnFO6+NVlARQD+VAY7mOO
1HcF87E9TqQWbiaqnmEAYBkKZr9b1+jKyk6unrzj0NaQSTgPfxtsx7VgLjj4fqZlWEu3LYRf3ziV
ojZ+tCCWtmC1MYZzpZGihPbxPOYuMXPs1BsdxZAAXH4iJIp08pGwBNqZXJVHFZeMzaUTFwcTnt7r
QEz21iuJ2YMsSN+bqnzpUI7AC3FAIsuX3etMDhdkFfephMKJ9TI2z0VSe+eUkt6gttw4aNrpHALY
Pw/mVOyb2jaOyhyzQxghPnrG+tIhTFhSGJNxRYPQRVEM6dqFTnrDUhM7fw5Xbmt52jrPS1POQOFT
76nzRCy2YPviU0l69GFKOERq/KAXYeW93GHIHd5sxx9RC1Zo5cJETvlw9zrqEC4+b9Ijuwn7EbMy
AoI/liMQobR5zYkyUEKdLihY1FrC3FEo0vAoR4ihgeQQTQIxM6i7gZJGfonKIPxLE+B2g3+mcNzx
MriufmKEbUbQk/wqatod410bsXncFINdXi8RxGKbkebKSwX47YTTK48Li8GYosivaewoMgwyv4wg
Oc+Dq8zLZA0+6RDPmR840VlXMuvajtOGRdxMiegWkTBeXTr0cAwNyXtgUKsP2fKMaw0Lpt+O1oiv
126L9FYsdnGDTTy7tIyOuy6cih1QipwNnpyOHvNffeiMsbrzSf/fEhSuzjH4jO1QdYDcmDPsve8g
NRK8z5OzSEOx98rZPVtxO12bGPIP9PV1Z3YO402sc/3qVPlIZUdIe+NWzN+qUJZq61R2+GhxxHsn
IUIH/FgrwsF18+AU1RQkcmBpRrrtgJWae2teUQmYb8Y7n2zh3ew4I+DJEq20gt4R8EjdgXk4GrXZ
HD1OR2cweOZRZQ4ICcqqLpj+9CVxPOepNsiuMSWVP0fcLws0ilIcw8U3Hry5F5BqhfNkhbVBOLca
02tYH9hVaSS9dkzFJV3Y9q8iC6FrW+wZ8JQBOKim5imJ+4SLIutBRlEusSNd6e5TqayDILmyR5OF
MbxELbiFJgUt24roQXqaujAiitSv+ON8WlsKzpFOFiZt1zmAjUcKTJsliBh4TmA51feCWPK+bkV/
XyP7X/gwxD4zet/JC+uDxpu/70RRfxVu238d3Lx4xys+7LHP61cB0/9V+VpfehpLD2IycMMsmeBq
d0F7Ipm5W/QBcWoywHwWni25dfIsBqOYQ4IYJNFQmHgnuVj6wlQPvyVLfnAu8ck9YkmOG57xvNV0
WL5W9sK4NffePa5g4A3TfPJjL3okZTf8xBA4Bi7q+YGzSwHhsRe1tXNn0g6ovTHknkaO496YiQcx
f9rVmcDo6h0y003TAyTD4c8daYri6KQUCuHl2kj7ezM3V+wOjRurHEBw+/CfE0QMo2mOPKp31qyL
rSbWelSVbnZdYzVba8qLatdA9IdejYsnv8rsDjGB34lGKOwLBMEYblzGfuoUg5Phe7EieOwTeYs1
3sc2nydzX3oUf7KBrACyOOND0y7EUaRYdqIenX2h9HAPhN/Ruz4q1XHCDM5JFNAL3nu1GdN7b7WY
5rpvL2bL+6zq7ewYKlG91z645Knix1NwzT+ytbe5Yit5g5ndDuYyrAKrLeZrsuF4rXBnucO0HIpR
5N+hLn5kvLRyHb7Fk9ceR53jxy4wf+F66gBEAswNTxjRS9JFeBFxOnFkTEvzQc64ITcNQM7b2Ctm
4Ea+Qw2sE5sycDEV7nWfCM4opvFrChv3yhJl88T9UZ89v+qP9kJvrmav8KE7PRx9UXlXSOYLngqH
KExcXFZnwSbPZxavgw4f+AVofqaCzUpN3OrNF3OH0aCOv1rRlAb8QRh57WQdKvhHl9wuzHObJDDF
BnPYDXFUmVvTYI+7H0XaHpGmyPZjOVa/tAH1JjQMtR+zTNaY5xqaNCJ/THZsrVx5cIsEBpssjHug
gFGyowNxOBbT1BOFbAuXpTSbqnvmi6S4ySPDiIn95OhzPAa28ckELuWjbtbpeKumqbkCf5djsLWT
n5onzkw03R3RM2skHLpPvtlap7uUcRdd1LIe27U+HIrX0vGxB6k9jJM9jDsP22di7mxlgjpBLzxi
zGKJ4I3VfTuOt+CLN0VlY5hr2hOH8TLoJ8qGcNpnoHFIRAAJjbZNO04fI/vqXyQwPtrEIYuaD29u
tWJsHfZet2g+7rFfeoBYXpJsC5ZjZ8+Go1JX5nC9SPhlZQiUwFsDVGPO66nFM3tl1/6jWEZ93ULb
3AlE04CoDNE9PIoUT1AChQ2p2Mdtn1ynRTHeduR2D2E5Gg9dprvD6FjuVgpcoG46hx/ICPaeezQ6
/Hf2zmw5ciVbrr9yfwDHgMD8msiRmZzJIqteYGSRB/MUASAAfL0W2GVX1SWpW9dMT5L6tQ+LzEwk
ENu3+3L8pjYfw1A90VngXWd2kNyZjGoHtYz93sgrC3GKRqaECNLFrnl0RrlYsaNOz7IBjS4h+etD
dfb75CSptH6nLnvaBUYb3yHJUqahGx/QFw/ORuXuzdAAaDDK2N4lmGoxd9lDFukAREGaZRMRktJm
e1FAaQdmqX3qOsx0n8PqSzhdaeNUYSw++4Ecd5acgP5PnvUYE9zZydZ0rwdDwJKanQL+nLa+9ZJk
Me4vNoXeqE9ZGTd3vqaemYTswjIoMY3sFTNgT0Nz0ZKMtFGXILDeOllNubS/ON940BHk8mTAdJB5
YucAp73KrCpge9XT5p4AGCf4GFwDCSmfx6KuDh5KCgXbvjguBaAgdClnjxRhnuqxtRAg45BHzVzX
7JeK1a5WTxdl9vcsx2DOtOal8Jd8F5TyxYibbQds62acgXONtIah0bvPNsujjResfomGoaUl/oQQ
bk5XrQv8SMbUHG/oeyEprFgQeUNlQGBTg7e2m5f6AenSezKdxYUP1ce8AjJaMlbxv2lCFCQF/nCa
/DGn/REBMEDEUXeZpccJEXBj2C6slDH0rxDKISshNm/zWhvPXSimp8Cywtc5GNtbkUKfDmbRfY8z
ne+ckQM+OUiRHNJhbp8mavP2pmvQPOMXGdGo0LirR0mBQ8ciZY2KEVKPQoejhBGL7JWcumFwqKkh
LYu+PrSj7+ycujgHQWb8xOqSbG1jam6NvFRH6Mnfhk6t+K7W3cVdaGEMGXz6e9w+Qudqtj5/e1QX
rnvjlEWxL11aGLdUr0GSTn3/Byf15OCKMd9Qb/DWjO7d0A+PDicU0uR1sYXbjK9ySed70O4X2tCW
SzYC8XCLgIZhxOwQuAiOL28PEBqR3kyk+yH6DqOp4aDXRHPFoXAtTGleFoiBYttm0CNAf3njBYrd
TFUJp13ckcK7bxo13ioWRcZ+4nZwTapLfLqDmX20MeGl1jEIOJJOeGiWYg438KpByxNg2YEw9s5O
PxhHVxTxVuU4xCMREMMAIWhOn6OaXunZ6vb14GZ7R1bssybsl2PC7OS1+HJtdjHXsXYDwvykv1gX
uwsyfDNi4bWW7HYpap7QaS2uYubXu8wkNr2xpzF74IsenqZw0ieWeeNpMTlhA2whlJb2HAUrracn
VGWX/gbOCxrOaT34QAGM5iLWc/b4deQuv47fZGOMM09hDuVET9SON1LgEc1X5VKn6a29nuTtr0M9
IE7ryvo66ZO4m7g/cP7XRtBfwnUmKNbpgCU0nWoYwhE6E6gvKifk35LJfqrWAUN+zRoeJzNuRusI
Yn9NI8M6mFTriFJ9TSvxOrhomfKw9jSc1nQOu509dAY03LVs7mvkCb7GHwvrfHvsO3+Ce+tZV7Ta
h7vZaclzy4ILNyxagrOu5b+1tSk22E7xF9cjAXwQO4cZwZs+rHXeWrrlsZUOrnSjfTCABB/JEDcX
22ibB4LehABpd49WoigF6xyFr/wJpN2YrlteFuIegfoB42zAMQy3eR8C8DDx9nYuhBZclXckBvxv
HZ8BfPZ1ZCzW4bH4miMLMPvXadGjFDBkOriLIwhfTJ7e1xQargNpSwngoVuH1GEdV/GwJ5eOCbZd
R9lsHWqrdbzlj1wHXUZeuQ6/2PXHO28diIN1NHaNJPheOzBnVV68swNBzV5H6WUdquHnEmD+mrSX
dehO1/E7XAfx+WsmhwJn07LHoD6uI3u/Du/TOsb3XxO9XIf7eh3zl3Xgz7lJV3HP/8vGvdoMX8pA
sYoEwyoXuKtwICg72f6m1f1Swn737llrbefvMCjr64bK2RCXovB9F6vq70XToVQJFuQ5OJCdf1xe
7dfuzXjtHvSNuse8V9+iuP4/r5MSiVsbgP/XGunTW5WV/3Hz9jH8LpH++rFf8qj5l40bE1B0SCQh
cNaW7P/0GQsLB7LHbTL4Z6OxZf9FIyvmX9MOPZ+zO8bMXwJp8Be2YMFPOQ6fKifM/5LR+E9YmU/J
xdrYKzj7m8L802eM2BMM3uTJHeuvOysmDF8Y3Y/KgVsl2bQjnFw5bMmOgwLu8Ns79T+5Qr01OPhP
l2hgmuQNQ8F7gkrMC/3nSxQDHj2QrCN2VmksR24d5O36lPTXpKZNT7YWb1cu4FWN6WFozezSszT4
yUqKFFM7pdUu7fE6rxTd6WZ0AxCay+SecUJNWNgy+6qT7EgyqcJrO1MBmQpYkBR/EnI9xiZZAdn6
99gT3OK6xVgRdZ73RIVAGPmJ4B/0F248C6vRW4dqHxN4gbpmxQ9jOit6+Mr9si8hucC+LJV94zuL
8WSZHTvetrKXe2g44iICZTxxMJwiWlBoLbNRM3wCSNc8+7AW0rpFQAg4EmF9HlyEdjecnocDqxf3
HOKlOrgccwGE4x6OJmkYWAiIcBdHx+/EZc03kJgyskGfDAZF+9yx724Pjm/HhyRj1y8NHG6gtebg
RwA9xI4K0YoHLG5r+q8KV7C8wbsGV+E4j7m69Ik0cLHQ03hP7/n4CWLE5C7JbnPDIaqeI5OV7Vq5
p/WrpgMArnSgq8faVi88ktzdGDNyhqI/B7VzDmseR2DKaB2XQXbIO+OHN5jhtTk4E8+WYQIINqhB
bIqCzObZyzESHpdqmm4GTHR8WEVxRlGrDmXqkScMEjg0eRc0l5ob3iktKa2x6QJ7SgCMoeXrZMsA
seyVwsm7DHzcyirMN6Js4OTqVlEk61fTgbTbbTV3aPqUQOyLVrbXtsFyH92u3riaPadvqOBo9UAw
Qr45BPX6AVkz02kbVaxAI5nTQ7JvjZKPn2KsfTi0zhqoIv9kiHBPZgarbj+oF7gFwQtKpHndEiSR
U+KeA6uzN2q9zntCNxHuBYcwpwyfRm/V1auh32rC1zvbBILvVmGLX7FLKW3DW/rkC0r6Nq4ri8cg
UWA7R5cwL6G60FDpFiCrNWwU++gfeTDYnDU8Ig68xWbN6VeNGd8WS7vF3lkWcFW2Fs64r7JsQcf1
7ffaiXtGGmbtjZ/3sDJJ0z5qO/Y/l0TIR1+rkH2RovNpJifzI8/EdIGJ5zzZBSuh7dRMnX/jUGqH
oXAieoBdyY313jKM7uCF7vogJwBFPq3okubUF4l+b+cpI8CbC3HJUXqsH0Gg5sPCsSoKoYCsdGwv
f1eTRGWt8mLbQS19Uplwj3XTnVSN4yoo9d/L6kqo5KT3aHP235jb2o+Mx/pxTtzsuiuo0F4k5EUr
bvEiJ5093nhh2p5NN2P1OExW/8zRKvyZx3Z8Mhpv2Rr0MUc1c3waJapyj4UJnX4LIVFdQ89OKR2r
5Ysdl92uHLR1YzaL+8YZmbOIbrK/hWfRrVPr+qEGhfDYgGV/q5LFu7MY5A9xGvMWToF6xu/SHMoR
Hl8/JdVrmrvdN1AA9jPJEOeUKvzBLavOeMt8y2ZlYKA9tEqVcHnJmqqIZL4lf3LMrJNzasuEsFxe
Bs6zIHUGeoyffJVLfIixjPwdx2S+j85sDsvOSt1mOQptLNSmAMbfUei7D+YUZxZtDhX95IOc2ISZ
HfYMoC200lpGyCYmH7M3rrQJAjUkKG5I0H5prMq4G5MYA/CR0vRBKrClu2xr2wNSmk+506VvEcgW
e7ZwKjhwkNd6n+AUd4H1wzXcEOfhMp6YgOMXZQsZb3Nj1MY67WXGLo5HvjbUYiCQAajywbiE+kxH
pwbWVfeEzXBfxGzDCzriUC4xx9qAUeIEsF2dT+1NL1MlrhDHCX0b83fgUrVglOWNgaVsPNaD3X6C
kh9PaiFNqn0B+MgcUBU38zj33dZDknzl4gf3Ui2gISKMYaF9KOIej/2wLtI2nQZLElV+14Nl7mn6
2Di6tb5P7QgbpU8LtLjUJAjrDV3/3ai1coDHts4L8AfzlWEtgx4DDZjNIQs2Zwm3Yb/IvVlSrEeJ
ZPih6Ey8MbspzA+225s1OJclXqJyiZvDnOBvifjPsjNOWyyHSevbT1AwPZZzDl/6TeMA0p9zyR9Q
FUtBHiNdcGVqK+/bTVLklbEpVEEr3IIaiqy6zBS9NgW1I3gx3YFiMc9epn3wxXSsOCkbG7E+d4hO
Nd949MSswTAqQmFfsZDFCogsVlQkHxkMoxUf6bCcuXQrUjLDQxxuzBU0SRPHujdKbVRjSHs1DYmY
ElyHr0O7giqtFVmpYuxOu7Dy7dt8HL0bLA0ySjpRX8CmYPLCpHamnFmDBMQZtyG/ktcR9ZQhzeor
MtOwVnqmNleSpgN8Zf2iGxwSeil2iRkGH/lMQRvdMBlDXFOE6m85f9kUV1anSWPSHlcDJ6FwhXlW
DnXOLCV6yrabg917012qIYAuhU6+WT1U0EYgxcUA+QEHppQFgIB0o3Qliao0SW+Vv+JFxUoaLVfm
6LjSR9MvECm8dWg1VuqZSxRgfdrYjiuvgyUlRbj2L448kJEaDo7ZADllr/Y0rtzTERKUj4LZFTfi
i4ualfYNiWkPpJFvZA9TD6IM46R5TmlLoFKH0tMGp8rKWzWaxYo4k+2zlcXKAfanM0LLx+pxW6y8
1moltzp5y+/jB709UGkk4kbDeC08EVXQ+/dOa+vV6F0HdzoFfLTxlGVDTBIrMLbx2ubcFFBkecpp
HC9cVJyDOAj9Xa3EWSpjgM+iqywPnsg93Jp2Bp4WT6oJqjatSGkLynXoOR3kJ/ZsACNOkPU/WZCD
Ham+ECTjSiPxVy4JmXU2zx3MOnAlX+iSEuMXEzKcNH1CjGv5p2k/7MFvDTUu8Lk7q7lfiDKXDg3L
fuLyPGyHbHjpXSWAOJjQsqhexP/JUcXb9B4FLVjZAifb5Z3p/Vzawr9n4NXfAGfDuOvGrLhKArsF
0UhuOttJZTbPXVIpFht65PvE3jm861S73BSmHI+y9p1/OGqggOQUV3jBK5XPsDYna8DCTNHq1J5i
4OYQzqhY5cPjBt7S6FliUO3cQn6GhcjS/Yi4g4qi8/nRBdLBGK4mLI71nJvu0ZwaeRmMMFW7OWma
S5pX7d89+iy3+NyaxvVzISMQq5RAluU53MSyUbuUlne61Ld15SAFomAMUGdx4y07JzHm+BbwHyJn
nlh86u288AblRZiV24IDsbt351Q8jjKWxtUAzdXc5aMQ4xXFNWOwBy/EoYP26ath9MuAY485cQKm
/xYymFNctXEO1QrjSPDULlq8+Knp4ceE2nhlOdI+V8D4Lgs3nYJbeuE/k6Qa6/NEmXMH+0dTjFVM
a2VPQOyGI2s7teelLo23wOiyaUu9FBt0uAyyANgFsRs/eaDGPYhBQjx8JqG8Suc4finLMf8m53LM
Lkvak+J1e52cykbiIJCd8Wla9NIWsUX+zeSpcponzEyUr6X5KxEWeELYyvoXPu32GhWLhp+lsvsT
OApGEFUK1HsyZKEb9xeqwUr26vFqceKl72b+CIganjPdtDTRpFs/BbwH6ROG6rYNO/eJjg1SK/9m
HrPWMN/vigFTZmjixiHZ6gYWMcJ/HsewHvRDmTk95ZQmgfM+oda8fsRo92qH1aNwax6sfor3SmU/
FIWF9/96HlwFiT9/vWeagcPpznRM8w/BooiVqBDtV1FadRtjaesLb355/te/5Wui/fPXwNZh4jT5
Pe5qPfpdF0HmGgW17+SxEkz3wzgAWPCxgARHJ13gNhRjW4HCDev0gyoHQwC1XXUbi5wFC7vZPcFx
GS5eW/UPBZjo6/Utg6tsihsW8vMrgb02oo0qqaOB52J/h5G1ifdfL+L/dK77/zo2kiDa+i+j37cf
mUrfftdifv3ILy3G/8vhEnMckqx4z75Ctf/QYjCxOVx0EOJN5ysOjlDyK24rBC42l0yt55sOKfLV
3/ZLi7H8vwIisiS0Qyt01gTvf8Ws5nt/CiIeFmQrAKXA5Yn1+k+AezZ6XeA0CAstJwQaMwkI1Bs5
4TpKfQYPFmPhfmitmDORi/whWBxfLK8u9zEbzDOwSoqVJrPC1m9TaQYZj9owAbqYoFasfXkQGKmv
JytL/Q1nGuAdfR/QBpRpebUyWV7pli+3WKLKE4by9Fihx1IANcKpVUN67Khhu82w6/YbPJ5jyKnB
4Z5ZFQKTaEOLiN4Ikqb1SQSlc86mjCohhmO1i0n9XGu03Q7KIjbJTRVOxicHPkn/Lmeod+7UMBRN
HVxTW5VdNUPI/ZPjaoNn2yaEZAaChygZGoYfUO6U42ZyBDduo/aORFC/MbJ+14uZXWcye4rlskRu
Uo1UMXnyjShOenZElz7EsvfWHpTy2sxycZhGQ+1Mn5E3o7v4xN5sPSaap96Q5Z7OsmUX8tbtrCRP
sUWTujXrVD/IWvQRubjrgPq0s6ANhCmx+BAJw/rAGP9A/ik/1RayFmm7+ce0NN4FT7XJQcqEoxhl
XgEQEnO2fVVgglsiZdqEQ9QA3BX/mhucDdQBwrO24YDkKC3SBO2kc7LGqR88W8li3nmo7w/hWJbh
aY3sqI1JXu+2sCeojAEowLfGT3V30pDTzx6IHbkxG5xCTUCLBVVUwQp5krnfnplUSnQhBjhnY/gO
qzeM++GdGgG3R16Pp3Jfcwa94uiag5wpuTWaIDeyLUvgLNt7DtAplsz5TRIqQc+Xkf8wxkHsY0Uh
XZ3TzbJa8sqHDj7/c9srd+f2wXRB3h/ZOvvQXyRN0+QipsDFxKDl+BhY1BjiGLHFy+BqfGutJXXU
UuByT6YOcz/KBTE3GTfHAcbWseJ42UZ6GOcXnovJe+dm+b0CUrKzaTHtdnk2E0HRvKRxP5SYlt25
JA0EpDl7SP0hOOKtNI9ekUx7BJ6qjOICmbBr/eYa4Fa/T8ZHhkyGEz3ufSP91mh8MxxmxxvK+LqT
pfz8O6vs4c6lKIoRhmNIIOtb2LY3UHMtoqrTcl90VMqggfGWGbKJpFV1QNldG3nLdXu+1fOUsuiR
hHFmAvccqqSQy24IMRdF2JfcrWOY+pPN8HcSvwBZOxxiGLKmU4IHKqedyO8QaSvn0lAff1UvCmEP
e2h8mytlSFxtcX3GeSPjvdBWhoxlZv59nZXqm1XItI+mtPSvUZXkK2dH2mcs2TLJ+uSzz24L7gnv
pVDDCe6WR6nxaAfzDwfTg/2oqCLdKrduPnDaN0hbOOS99oKTfw7lxurgJb4YSTpNpzTHQQekfsSW
RytwYf60vTim06kBtbJ1Zzvjo2AM2+jBJ0cDNyezIxDr8zM9QtbWHfrqxRKTU12RfOlII6EcRkvv
Dvk+G7hN07dq08fku0P5gm6qD0Mo2eziMmZPG+qLhXGIh7RZP5fSdSmsER7xz6CczA/fz/2DmuLy
Woqm2LPMivdjnwMhrefFvm148L/X0Gu+A12DWyB794hlhKRSSzVcwCj9pDNhKUqrMG1OUel0zUcy
9s394njxZ26o+ViQQP+Qehp3tTD5hy30m2RX2qjDmPdtVz1lBq5tADMqQB9Mm2B6oP3VH3e+UpO3
9zv+01OCq3fbA47Wu4wGHO8Yi4mtazVgHbquK78VpwpqWrWDdKaHjVUky1POZF9t7JQEHTlMz0m3
KnCkd+BEl4xRoMLiesIQzeMlsfct0H3KINjzbUS7Kgxhg186hKNAvf1tqaryQg4Sod6ZpmndM8Ol
58GzwdjZXg0erkyS6J4+zNNUIXNL/exmXYJyHyJJ4Fhpfwz4Tb0IebcDO6Sn1t1iXrbPWHdgEXc+
CRZKxFp/DUnWuorirJp/muQz583I5vk97QwszG0O/HfT+hhSSJFRvnegLckWO7OaiRQ6GRzfTZEy
7Crfp1eDhjiS3uyrU4JYw5CAFOAGn2GdNeVZV6lusP2i42LEcfR16TT6yJ6Ob4EyqnMzl9lRx/A4
NvitpoiM5ddOuH/wp6Hfq1Kab12/PDgjxktq0ePhEaOPg9hoKGPFjMm1F60efTKnDM9vNLvDVy/a
yXuRgzuEkcN0mhyLfhkBmnXeguRGf+bCPTvvI3PWFK1RbPPsWr1+ZK+NmNkgTj2yVgrPHd/hzWQI
58FSnfNiqLA6c8N2rqihAWecy4Qi4Pl6CQEjRYSH9SZwoTWEy5Xo+cIi7pXLR1U2jN6DvcbhaMnz
3BuIdMqIKj5K8BFs5Sklk0w5B0oScVc2ciZfRORrvrcTM312U3tc/3UzOBdW5SWHzG7s53zKud/h
zO/bq64Je7mTVdff4lWn4sIYRfjSlmF1tCiebbCCm519dA1rreIzYoKcXsp5bQNcDYe9okZwxenn
eXWroFj1u2BU5fcuLsxbCZ6QOLiNZTKS41xzhgip+TAJ7X7vaCG4HcSy1prFix0BEVGPirbDN7IJ
Lm2Ag/IzXC0JNxqMTE6UlnjFIgGu/JZX3V3FqWGqo9eamh11OqhPVaamvaVlIgF/hVLrH5t5rUyX
g+1D1GLGVFFqptywvcUyVJQTNLr2JxPQCW2hHhUYrtV+gB9yi8ivIfOotLPbyNHdT9Zl5ZHdh/9z
ACYPTH+KA1rYheGuXOxq2QHtA8KR057z3Y1xWLlmPr5QS42uTTdxfj1azXOgO1dsSkV4aOezQDzD
A8bRVo35sE2r+oMoB/RaihZeFxAfJ9kVfObj4A3UMAPEBGZQofzRqcA9JUfjLL2gmPc1IeG7PGPR
tqHByMBFZuckb3JQKt+zoZAD7qjQsvaJK/TrnFaCrHcBoWBnBE5yNpwgeaZUKP0k9WLzlR7X0s1m
WCWobKm59FDAuy26HMnuRAwKJUc5Hplb2wu3sciraByG+NtIW/Oms+FaSK+n0JsEewTjmx6XOT1w
IEWpLzy1kXle753ZoyjAXDwUn6lvrrDvUl5I4nNn0iaBU6Aq1IvOwgJBA6sMz33uJwVX5arhxHAJ
y/bSjIl+gkSMQRDSwta2nOl72K3hAzgt3XtCkCmLljS1f04Vae+Y+bholu9p7H2OWSw3Btzto4rF
CCMf6wDZ0xk8fziguB/iuEI7LrJ0OcyoJfPOIMb1isI5mS9p1xgUu0y2e2cDcD4tINnlDt9f2R0T
kqcWZOSBVcwQ1sU7IYOpixZuEFvtNGiPXpAaI9XiYB0lj4uIZctymrKyfWjCTH+LezZvLpk4fVA5
p0zK3870nqQGrAYS30dDVQH707oGSF2LUD8FaGvAUDr+aNsvqnefWphXkeFW21KVYXxK2AKcOgWm
bXj28p47kCmiwbRbaoqLBsMswM+LY1oJBTG+Hd4VeS0fESJcIgZU7UHbnOvuh0dFBT09bV5bWw5o
8/cgmNqf9Pjx7fD7ugvPfPE4GGZ12ryF3qCeXGu0KTewxV01Weo5sAMaZ+x2wHyJmDbznGVRELE8
CA8IktORq0enqxg/fDhElrPjWux2JnldAY1mbUSZitQB/asseMZtrjB9szEHSltWDpYq5Sek3Wnl
nLlU1uVlyQfY0+BLcUBtWG9hoIYry9PJtaZpoNwAu+QINvYJ54EKAyGHAztGp5vXqtRwVpc59oCB
dOPcGlQCxWZ4SGun+uQmAYJda/+6DMwcCzH4nB3vGXX0lHZCfOittNjS9RrHLLWabzTtjWe+rHRh
Z3RnjK2NOQm8zSaguBDWwaB33FWpE/IB8G6RLGIKqlm3st1aZgiVSRl+JJR18aGzaX2fBje/yJa1
PeZs9q9kW6X1jvGy3U5mmkSZUYh9OzM3agdndiOmM5lZuo+WgpWpnZZ0QC/1XeN7uYhGDKxRqEpu
LHQtnLRUkpS70b2FpQlWNxjcH1mRLu8QRivCKRjirucQpBBR/Xq7TGXyOFRW8QqL13zMdML85/MM
uRlpqNIHASgUy6Iv+gKyqEvkvjcpTgBlKc+Cr8UOCzggCZOddsChoK4fZ0iKYkOh0HwfkliLGhTs
cTuQTzvPSV3SiDz15TeV2tgQFw4XWwlXIEUVVOkHq34OixBfdh39owew9UtCOXGdEo0MhzsPHsyp
5AN4Ct2xfOR+0V0Sm5fBycgqOLqsEVrNA3eGKfLE+u3K4wONGb+++zl32yl0kseuWZ7/tdy12iZ/
V7u8Fd/F2de0fQeIl/MHwKslheGXlVoOXYBYj8HLoUit8YyznO1iIRwbr+m//zTA3P3j3/7dePSn
kRM2c4iA6ON5M0Pf81bHyW/1d4HNR4kIvBwKaeX3rV5wc1FPuaU1yb+CzekfrHpKt//6l+Kh+R9e
pr2abODv+QLr0z//UgGTfYn9Aq9cmpQXzjX9Hf0dzdY28xQVGc2WIdAjzau7z/8vxf3vREhtBoV/
Hx/9jzv59vGp0t8VuV8/+UuRc/5idoO1GJAdxdBqcbn8ckf5VDna1BmGDmotHY9YoP47AM+xXE9g
ploz6a7ND/1S5IT9F6oeV57NxW6hoYn/kiL3x2VlhcKFSW56nsmd3bL5E36/lvu6Dz2O6OOhzfvw
kZKT+ZZOOQ4WdpjJdyNcirMmU9FG//pqZq2yau2/f2+REx2MAoFLoF4gC/7xmyl1LsBa0HbmOUO8
z6Tttm+V0DxxstEibokKWNAhJfXwWmIvWXaT07RruhSLPAKGNr0D9GKL/B2Y4e8xAfweRhwoB8fC
yI1DFDSAqdqYbqgKIe6ouZkSFB0sUi6WJh7B/TqY323dbex+lvVB8O37XkE6eqMYPPxWmXmV7qDc
jfcz6cJ2W/TsoLMUBvQmaGOspqMlhldKRbK9a0HSIdR0drImO+hkP+uFvPtSvyOIRGnPLRhDbbNV
cfNzLKV1YdTI7wHx+S9YQLqDHRs8karWqqPUdbwm4qESPxsj/VS7JTGa04w8GNXx/Ok3nCkI4Oxj
bCWnXpBMwcVxByje349TBTYcfSEyrPob2RT4T8TCeLWsqghVQWkTNFB2deTSd8AjuxkomLOd27rV
22ACCSRsKt0ThKZIyw5HckvHMhzpGhezzDH4iDdcQUx9oYO5hH67FCp3YstDHZd7Ldtx09EFwvmV
WZWewUi59EiptKHDArXsVsuhu7Dfo/Q5lvTVENLf95znYCM4A6KKyUIhITrS076+K1APt+gV/aGn
JuskiLnQEGS7JwfH3TpbkQ6Tw0AbscoOtiaHueAuiwa3FjTP58MeaRgZpSrANrplvKV+mIitlsYO
w3ID1sJKylNNydpHa40JtTkgB3zDM24ow6lPFnnOh3kpVbGtGQgJ/gyEeRlXVjRpbtpkeIO0SrYO
j5tw3WNiydC2o95w4hZN1C5AEyJOvv73ZHCCa2g21jvr2+qj9+ccf3bR4goXqR4ekqa4mDRKUfyG
YHWTi5DGJVa3iekYVzxm2qt0qZqXiqU/73UuOUmZS58uO0k1MMpqmBrexgTs7kUZ9v27Ci1yVTDd
lX9ImG8rAEjfOGqtJJssm0eHqqwD6a+ywiqWBo+Va8iORJFjbjsq2MSOCZWl+uJ7wbUpaefaqG4e
7wUj6N5J0jm5SpIW0lWHy+G7wuEPzwj83E3n2/SwdeD3HmYdmCeAUVMdeayHWWU24lRYuMoYvoLk
iH3BeWoIXMXUsQXZzJu5gibtGVwVB7eWA1bVjN/CpGPVG4Q+LC5vEquA4ki9C1yddFez7q3Ppmsx
X9mV9a2w02449JXl/F17KBl7Ds0oxbbqbKzgy+waD4EHAd8LO+wbiiYv6BZC2hHQ7aLcUHcKMl5A
UtxkHUeH1sRexv9sVPbMfxgWeIH8fZXal4txGzvzh5cU76pKLxbUjdY0HPRNeEzVKMojlSv2recQ
Wu8cWEY90GSGo+ICS5+ydAoIOHS3aov/nUx8293U3qLugLR/4KTxqKSSzI99mRxN5Ovrmvz9XlBR
vvfnqt1TQZ3dpbHRH2gjpdJ6mcSu11PzvniSviFAGDfmnIMYx91AxFgV099VRcx5A8UlO4OZx7+Y
5zB26XjEK4p13LXe/VxnV6UYyjPxntsJFyFOQWX19tbiAOp9ds1sldmGgC19gxQu8b00XvsqAemg
APx7lvvM4c+ny3Ac7um7pQAnzYinAq8Yr5Zh+WztjvsHIBSHzTJYUGIf/vVoE+10ClQPdiXJTldJ
xkqW+nHDJPsaufaAZIGm/0DiqLCfRgOTGypA0Z+KBHNJb1TDjQIKXOxSaGUEuPv5liBUGs19g1SK
29LnymJDz90ieQ+wf26N2g2OMN15YfAUIg6zvBuTEM8BveKowCYczAlTHPY1UGy6uBljR0U6iY9U
gFLgVblXkFP861Z4KVKg+zdPp+wGDFF7KGWXYA/hSlGn3C6mqI1JwO1Y1MCjyVRi1VuDZPEHJWdQ
QpENzYtPYpXmXQiXapeuQUeEq5GwaDo+UAhXvHDML3YlDPpPauWGw5zZjMEhX5iDi8tgPLatlzu7
cRyDGzxZ1Tefz4m8uCWPM21CH8PoOXdq6uL3mRWL86i6ittsv9RpT7kfBkyMw57Mt6yb2PAbNOpR
JywXHMDISPlgvrf46Dj/c7QuhTWefcgMk6xfDZiDVZROis4hjFW2D+MEZ/QhIzrabZw2CCABdln/
pLHJpJvYyh2qjH2wqLMnEW5G3d3NQX0f06K2IbEst/RWGndl78Q3kwH+pMDKmgXO3gT1Ar9zJVLC
XwePe6pg2Ow00u45BzlmuJLiFFyuvIT0OhzNj86ffs7c309a0WIKG3s+ZQvYegNgzNHAK0zuci1x
FeWlRRXHESaJOI9ssuOEFqIlTfiQiV+eczf5ltj4/rpecwHEmtszSKyNxo6N0mks6UM1EaBt8mxv
6HiXQZ3Y9/MgLiljK7mS3mIq87OPKWGXFg9jf10qpFMEcLFppolxTkErSlQsD60/t8RLLb3jLGhH
yqK4lQDtc1yiqjBnt7vK440tuzq+boIRYUW1z9pNmcOaWh77kNpWjhqwrDxJMYYXWAfuQMEZ+gCA
4EJ62P1EsXVhWR0ZihmYc9ZfxszXtxLO7cTnbuqSOVPIcXIO/42989iRXNmu6BdRoIsgOVQmmT7L
ZNnuCVHd1R30nkHz9Vr58CBABpA01+Timq5bjow4Zu+1jZz1B7QAte+Yi20cp0Pw1KeuOFMu9D9g
7fNLTQIhdrAH+yeZNkGUWUMPerCKpx90a8XNG1bzbAZF/refhYTMU1pHSwfTR9aQjz3ac613kzBr
0LuAhELlmfFfM1nHgxSLz0CxIJiDazbeoy8VKaBEK3lSRsDNmSttnqS6bxTszPlim9MCdbDnR8Te
ZHoZTUXkTTza8qSCkrGb1ll5YuCWvqjAIk3B19YrTLb4T9EjaL3nu5V7hv1pzsFkxceM/vqk+FGb
23XOgkg5Rnq6a5UJJlCLVvva9PM90x/r3QHGsoHyRCxYiYN6m9iF+h7zytRAiAKv5pdQlU+ow4xX
+NjZIU365czAGGe0uehPVwzleWyZq8B9kskDBkgYJD0Dr9MACAOQaeKsr6TyLH/GTJa8pn6e3zoA
xjcQGUwRyUFBE31PVZko7XdZnPfvhJmbD3FSVacEhct+gb/IunPxJjhJnSR+0iW4uyyJFBazMb/q
qXQPukr1sxGg3BlImHhy+tonocC3cP343qcB63Dbqrb+dNz42NcWubODeuj8TKL9V8YatYbQkufM
LancE4imnHgWmQdrykTMWcnq7Lp9bdgUPFPMcMdr6Sw2Y08CK0gPdjUbMAnlQxx4yT4oGDvZuqJg
LJfhJgdjPaK2zbeVX1lvjtRYjOEtoP+MiR2KVsPOrCeuCO43xmh64QBDDln2DC2Lou/hwVXBTjoV
Gnbptg9j7mbk2AVfWdpYEbOinHOmWvYYFAlDaJvkm6KliAzZ3FfeDFIU6etLtS/F1B2bVvc/eGnX
m8EieEvaY8UAgE/iG6YdZeSNRIJ0HGC1jnqqyY59mHpTz1+1Y8/tM0rwtngB+6C8cGjWDCLHSINH
cI/Kpg3rLlKBXVsDIvFIRyUFxtfGXjBRupXupF7nxkr/rsyl9sEiAVOuk6v2Y2f2z81iWz/GOnBf
xxnHPQl7dvA5ripYWQsjblKlkXzPE7k/sEGcr9a1B1I62pSYzYk0mZtJgfqnc+r1pKYaAhvxmu1t
6SzOihUdKgVbb3GqwZZR+3YGHrTpiLVGrVaaX3nsuW9CmrJ7hUAjh4e4bl2HzHFkZ5FFmFukSsa6
RKtm1tYXCnFXUCoPDOBIxOaxsXgIw1EZMfkQogeHUC6SwXvO2+uS7WmFNffhubYywrJyp23AVXpJ
Ek6GY8Mzb7B68xd7gUTYqGNbj86PYp2SfWUFZNEE9vgFOLEEdtG0t064z6kB7nQu+rDpff88LApD
P88hIyJpfrE9m36qKsiOMhXpe7Zq49NqauFHeOjdHzJd5pMepmWnA7++40vks3J9X22gA8QHNyui
dmnyIxV1cmG/PB3afsRUxI/wS3tKsx405JObNN2uNBgQARd7TL1sOQ1Elt01Wtmtcg33GgzOiDU+
GExr2zbpspn91iRauQAVWXcruT7Ci6/Eo/wcVfINYHd+xjcUQ5Btu5LT2maz0Esd/B39xtsmSBh2
ri3RkJCJ9N75wfgxZbw5hVENH1lBuFU8S+dagYQ/payEnvPa/avchCjjZghuLeXsE6JIopHTtPnj
It7mBp3sQwXe+3XVwXBalWlG1jpM77kFB6o38uShjwW5IWvnREvX9oRIW81wmWN3wsujmqNUZYLh
t5eh06Q4kPCbNE/MZItf7WK7z+xwht2yQhYl47171GLKj7XXfmCGTOtwhstAecAyLJpJFtl202Lv
IJ6syOcLABrzSIBW4VADDZn9qZPavqLpzM+FzIPP1Gvjn3HKmQ8KtD9yreobmtHlZ0ot9lANikVL
Hw/XEVPLy0CVl2+mwnR3K6Trk+O6zTVmtfKG4RcLVVOPP1MCfaN4HdKvBTOKQNxIS22xCL36Hs3a
Ri+8XSTcmGEC+5uhOHeKPwm9zRZ6LCfOd2uTZNfK0fF74Yv+hBIhezdqnqs+kSWdIGNtn9hGUskd
68nD4XaKPT3hHMcqMi+NfU2MsvrrTjOiDLzzNgDpbHgwS+48dBax8+2rnA4LIVJ3NlWPmHUFl3ww
eNCsyCmwTm+GIQd/3+aDCmvDbT6GuWmB/wSz9ZILPOZeh9wmY4sygx26o3TnoK0+MWrEXxO5x9hY
FOfLuYe5/oQEVL2v/wDxsrwHykuqgtvtMmKov9Qw0V9BR3F+aVkhe7HLdZt7Xv01T1YTsh/wPmrJ
kEaUQ31RVGpQajk7+IIyNNcVyOkUu/qNkEwrsmQHj1jo/rEDi3ldcz18jeWoz9adOdyTfR71dVoc
ltGBSHxnE/eEmxB6nDafnWemO5WXxg20jEBNbcYby9sOHPE1CIq6IuC8lfMDcIpEHAxJlJ1APbZs
xklZ74g5YCM3+Zz+1SbqITBbS7RkOBJIQp0UQrFqWT5yekjiJrHwsH/FOMw3r6gJ/sFftpPeLXdU
AYR0mjr5YQep9eplFQ9Qaq18DUTi3RZCg2cGQap6d8v2b/8PunPrLdXXyjbib00NekyEwTGE4JfF
Z1uHQhvGXs7pr1wx2LLqfDN6C4xwUpMHrubtNAzOdrpjpinG3jlk6tPS9S9mDLhFIZ05q4xtQnAH
VINoFSH50pd8bGKqdP82pL37iIOovJiYlKEF/YN3Pcc5suGqOrMqkcd0XngcDIZ+p7WEkhNif7hf
U+Uur7GaBOQFclX1vGnGep7Hxb+mithBhh7d3gpi81fC4/OrQZy74gGqSz6+aM8yAWWh6aB2snCG
W7Z4T8uaWHvu5umWxwboiMFySKs2xLQvjACEFUOpR2Gbj/eZ0A9TxqQ5lM1EGlJuYIqnsrsvxDiv
UB36LNWnXpC3FSTwaMaMxhMC6uoyf1uH0EE29G6CU5J40Tv5TGlQuCzK8/gRLB3rsQmqzcD8nwxR
Jw2dntwjP154LwvEgSCtwCtB0MqxaY51d3Y7Zolbd7Tjj1aR4tp3Tf8jWxzziuYi7zcyMTjAXS2e
nXRsry2fbVu3bfyUsAC5mo3BojIOau883qE/DrGNJxscwJmsg+acuql/kxYxjdXEYjYEwlR9Lr0e
Hhmu9UMkHIhPbEhgo7baWCbUKk0WKXf5HWCJD4GyA2VTtvltrCo/ajLLUGDoeCO9EbV926xEpK5+
vlPZqHadMNdHwHnpPrG9moz1rPTv6YfN82rM4F1G0sz2ieFUB1lP69esCw8iR5O9SdFyCs41cDPb
IX2rYXiFsslocAOx4nqXyeLWoWlqai7PPTg9l9lQA3X3cJA4uYUSwTbe/AHmXLaw8oaphO3ORFsY
ZXMxP3uEXW3bBWP6UMjmZNRsoVA0tz/NlALEgO8X9mVGfiH4Ndr1PXqO9pHguGHX5ei2iL3lIuUf
xXFwQf6S2TztnILrNKySjLi8BQpn5DoJ73itGTdIf4n3Y9529wAtWz9YRdC/I8m03v2pUvhAl4w8
LrfDQaFllkZeAWN6405p84pIsDR3qehJDl89dJ47KABmDWogsRnJNrXNc8vwA6B7rowPZCT9yTfB
psMcZziwTZJM35AGdOmZbWT6kngrCMcCxIe3WfFOTiG0qPFv5pXrfh0n+TO3V3nz56C2dh6OAaSD
mYTfLBwS19A6kBWMHFPacOUD37khoqJEJsvSxjTtB83H6DrZL22Yy0o8xGS6x/lOKT2tjPpfU3et
PluHraWRVYRrYnYhul20/bPGjca4bbH9p2ZiEOfou/YkH34Ii5Vr7PfEB1pB8NOonYS964xa1fGc
U+/b5XvW311clT+3O6Q9Ns4BGHHGAoIyydaox/vwIFNwcBtRB/XLMGgCQ+NlfWV8Kcixs70nZyFg
IsyA5F3UuIKUGHCEfzM1kGKrWP9DFelYHRjzbLih4U3ogUnrWbewcubP1JdcEIxQl+tQul40Js9p
440jKYUyeM2HuLooZLNuLrs8tOH8X9FyLPOh55opNym2il/YJciFTJZ5xL1NUA9IxsoQcO0cZ97g
JCwCNtYLGG90I7YIdQ0+B3NhnSFLXeynwg2GZ2ex1w8G59OzIccKG6NV7FNsy/uhb5w3J8/nRxaS
bpT6iP92dQpVpYeE/QiDdaEvn3yIlE2e/EhnWZwRt+inzrDzlhGklbjn1p/ZuljWfduf+JZ4WFKq
LICchv5c1julXlJc7xIxZyC50/lxDjq8S55LyuE25wfxXKPhNHDm2eo7tlCcblPXsl5UfPeppfDC
XrLUs6PZiGmgAwgTXKe92GJSpZGaS0c8dLXV3xCsmTd7cqrHxRBVBjs4bX8Qwpc+yDVr6eVbX15N
BGeMcao+qw7p0FpvMgnscwoUlwDRNkVV3Y/MP/Fs4ebKFiP+nebl+tWwc3ejCagSRZnZ3rnwa1Jh
fnRo41bS6T942rTeVkXKTcDUc35EtBz/xq1xP+B4idBiFB+e59hHxxrWK+A375SAY9qrtuzPnO1c
QH1gfvcoxhMybLn5JrAib9JIm2f4A4B+SPe5uNMAxsVJxr/96KZ7RCycnWgyWlJMhnn+I0kMDLti
DOkhimw7QE86VO7qnQTndqi9unhxcUSeDJuwFEA143eFUrbZroCp901hVofMBVcS3vVGX1YD8y9S
o1ffaJGYfjdV/5YjbX3G0lZg8PIAZ9gdf+k4h3ql2081WAstXryw7ki9/p7Fak7RyM/wBWPn8Jsb
qPQ3mTcFr8ZqOaiMy85Oo7pPnsbS62+YrQTbA86WauOOLi55cxieSscrzo3FB6HnSDdqld6TnCum
CeZSjj9Xxmr3C1nbV3+ExRp7dCWEP03FDc8TGtgkyOzmJY7r9RlQMr8RihvyVlL5zHKrOhamldx6
WzTEtM4IYjSC3c4lHq7rLDSZCcLwUi/yxIepR95u49cMcX/LP34msc4jK60BPAer/zB66/q0zOV3
ayH+yUdcb+hUt3YWLFc5LCUaDWfad7UHeDAJXpYU6WUuCwRpktHlcehNbJLONGOhs035inuQukJ6
vDzLnbZf8F4DLeinnaZ9ZUMzMuEw0jI+DpTtP72klk+xaSL/dJ25u7kU9HQChTD0xkfDt9Hz3JxS
jap6swSqhzc9dxe2q7/rLof2dJefPyaAd66TrN3nmXHGz4p0a7HJyVIgZ3NkfZOMPE0Tui1O1fip
TuELKpOZAho3+29TxYRB9WaLG45oZWiojN07JN5iWsqtoEQ4j4ZXfTiKKyspA0qW5O4WsOwJcDfb
FmKarOadfepwLPn5Rkk71Ic56fzQ9Ewn8rGf1nvTES63qUIlmw5D+VMSoXtldzhGhVz8vxhn+/Nk
5AWzYMv/YeKPI392LNAKwinHVRcLClkvY2/lrCMdjG0l07m3MdfbZYsvjm0O495GfDUCoSiSx8E4
xrD0Ni4zkhTPd75eh1lwyAVe20Di6BOQn+x8IEdMr6k3u9/1tMy/UsrWV7Jrxm4j4fdw/sd3Z1SQ
+fVmJXjpZ5vf9WicCoDNOfPo8Ep6PCz/HMZ6hITMMzQ4XDT5kFwnwzR/FfBgy2hqYjKauoWLa6kC
eYxJJjjzTRkrj3o3A2B29HER4CqwiYMT6HrRuGGj7KohsqBYPlo/t9nbJMHOthvu/KpFMRojuIm3
dWwbcTh46Xod0/ieMTLZ+ckLZH9Sc4+PUuSL95uMFoiV0mTjh3yw5ray0yY2NlawiIemvFPHGbSB
AckSbrENSXQQQ6UcnfYSkJIbb2EZKnx+NRjVUrrWWwF17M23QYnN2ptrUKuGcWTIXno4Gfr7v5h4
6TbxmNpv7GydAiOsDW2irIT4xlpaPTRsUJ+5vKhdCq7LTSy42o+DiT4qBA0xfzJvtqMuz4xXde+u
Sh8fEUrnedi67AejCb08qrHCvPqBtr9zt75fYkVALDIGgK1rjTreCVQE24Dh8HktTRhSVTs/YDol
WsK6D8nLhBjiFvc0ZEyLN0vbkZFNz67BZBRiAd11/zlShJ+WuMLbS3RgNJDQFk5Lq/9YjciuI+XE
g30/nRFhkXnjmdXF0A2pypq/A3sPlIQkKvPTREn70MMYuaIht6N6MBN/284aw6Yjhs9kbNbnTuvq
UuctrI/EMiKUreWxsDzzd9FoQioav7uUY508xmubddsmndKQaLb1N5T95ICk2jt2K0pv6nXGxOTr
iv+36f3v8PLirvr6d9HYfwlo/dfqO+m+/jttEKoePvLfpUGUoYEnAmFb7n8CJ3nSFI60AtIR+UOo
3v4pDbKCf7HwkHsw3xHw3ZHz/xQGWfa/SJuZMRYhISEZ/J+cev/FKnv/FOBBqbvJavfpFf6jMEgS
pqAtEo533aim/oUJgE9RDa49pNKWj4QE++xT0UnsKgzYO9ccsqgYlPgfZG+Inf4z5osvA9Ub6ZyY
7aRD5Od//EpM1gssTQPeEPgk77lPExfLID5qVdqvY54Gl1kSnsFBB/SXvWs9Qk0JDKjFswBnWrOh
s+AZ1HkCBTppTDIx0oV9mkw5nVUsnuBWx8eVyWmIfX18SDKsATRDAuF0a9jPSc8KOWWQCz247PDJ
GbBSZ1UAze7yKXSEhxAX7gOi+BEDLWBIZJpSVFHmL4hvgaBTsNs632b8ecJ4ALIc6ZrYDEDqYN7g
PuACMg6gHQTLmn5wvkxhFlfhFAisCZIhY242W+zfpJtJLiWonOs3libxGvAQ7OvFgS+dT/1TWuRU
FxnABRbMU/1rII39iGege8QYY53M2rKxHMCHl4GLepBLN3QrdNlIcE9F3Rzm1GBeR/TH20Lh3m4y
d+m3bmbJT2uMg22NhOwtmQJS7JrcOWaVE29W7diXNlHGjj9i7mcvlmE9Jd2hd83gogxnOrLBs0Jc
5rQzhGi3bjuel8GAHJi6Kmqmtokwx9j5lsGis2NVBWhycNn2Cjm8CmbfYZDWTuhBCXopqkl8eiuj
vQ70N3Jx0zw0wEP41lpSThnQlVRhV4Wr83WcZuMDMaTeZRjpDjaSOqQVVKptjXTLoeT/bsuM6X6Z
V89u6aMHi6UxXie4zKdUOW5okZDQz9MVu9sB1cPZb+FQqtmAFGF6jx72AMYEubK2uDKpO8hDYSEt
IJ9g1ckdgMV9T1y3myzFgalOWMVkr/ZZGfWyJxsoJZrkTsrxxr4Kp7JLYT0h2m+Grn1o8nz4TDM1
7JH/wuhX6NlYFBq/vLWFJaur5aEUgQ6Diecp5bHauXcZROP05f3v5LfqhmCP8UhBxaRRYCKnl6ty
0f8XSW09E4FpUa3r+ZGB0spgh66ZuLIU1yr216LoIBaM677BPPtcFELui8Jdn11K1KhdKQlLB4ma
lmv6lC9p9cjNqSLHTkVUsaoEucmwSCStCjswjFvtDc2hnprmvYBexG/TI+keoncEkfovwi0V0RaU
rzGZPxtv6byQ/0cNzbKVBz0H62VmH3+ERebvq0rZkQMcDfRG6dHuGUEQdcr0t/MMg7pT2Os6lmcR
40/yYjzA6D1zi45NtSM0VYWUvGtsLu60dM/ZVOVScjUWzmlJCL4anVk+pr3h3PQ8kabbP8zNSo6S
rgVOWHfZI5rToauldVV+8hhwyEQIOB9NEDJFgntGmdV41gjTfy+khf4tCcnZBsVAIR2s8WWxJuaR
nkOLxal/cMZCnrjeUfhMLoq4SosduWjysefLZjko4puqWNjZjZ+eZIYdb5jG8XfnFu2Nk9k/Fl7d
/bQJUSOWgHVioGSZUAFA9rmTlWV+pOzfzjz8xOAxsVj2Ym3LKUxUxnirb1oUckk+7UQf+M0DiTtT
FY64Ka7jRI72XY6yw8cIYJoxNKGFsUq26Ce9AS2G6RRbf9TIISxnkiFGEJbhRvwIPxInnS2CGucK
ZksWA6k9iB+l5Y/Phl2D2UDG1733TBLpGGL1SH4baWJC6mvMPG3HmbbsQUBUJ5qN5AdySDpyX3W8
14lGtgns9r4wYaq2tS2SLC9Jk4uT57qxiysi+LPkeFyPTVW10TQO1ckvevHppgHUtawu3Y0eEIiz
1ZZ7VJug6PC7NX9TjK4NO5xu+IsvsSecbx0+SysYD42sH8lP+mjnqT9UqJKYu0ixwY6MzhKPChkb
iwxgwpur+6PwchkwvlX1p1t2xTHISIIjZAKA05T6d1BtdQSZg5AEJjOUnKGNiyfaFm3t4be481Fm
iw4uTRlb+R+JIWq8MVF1X1RTO/NuaIzmq+dV+Ipju3qvi8S44lOtkNeA6+AV6vhsZbBOb03mdgaX
VOy+K60/8zIwzlgH5vhsuksHneauTBVDCq08dSYc0PfnXzWdc6tm/87GQoewndNF/rUWW9zuLjn/
OHlZkT0j9gJs5lnpy8ha7wVNEpg7x2rRF2ogRX8BwUDLTdilfVBVO7+RAS7HoSH/dcH3f5aL9v+A
OsJ3GdskRBqMmi5x5jLvM9qpfbETIa/VzE81z9HQa6t16SiNVjLjly3KXNneXE7rFySsLWEyht6p
XtmCLLPEZzrv+vPVWWPn4IpUYSmldiHu0tsMevJwPJDM+9hbsZeddM4KXxMfA6h947qotEy4XlB1
ArM1P+qgS39MIoPb1zUpZs+yUIMTpTVODmkmbfWYUWzX0ZBWrLd6HCxRYRkdjhc7sJ6tig7YsAz1
nExi+iy6Bt2CMTkvNcGtp8Dqxc524CvHhaHeGJ2RHGIBp9pIzf+CWmvKQthrOizmdNq3NaRBy8My
S5VmPIvFrvfYjZHcTWv9x0tne4dMwFi26AP1WzfjMwzzDOLxRlaEOy55aQ/Rut6FiWuiQTWRVDof
MmsaUTOpI83b/AvPzIQAd0k+lF32VzrZcmskCcwEEJlbzQ94u2ruzzJrt0Yw+8eknNdH0g9l2LVB
j1DcLA1qMX8/zxnQ5qrMS0SBeQx94QwSy0DKTb6fffCAbE6nvs6SE+VMHaJbQHNJ2SBfXdgLMH0b
7ncy1j3rCePsupkWyaMAWwCLIcz8Gx+1Exkq3g6lw7ItBeM7PDZnTDMLEsBFlWHVd/1nA/+SGCOx
HEkiGXb0forryAl2VSvg+WLJBwS/qkeNKnTHiH85uownLpJcOJbbRN2l5JO5fxLzeFe7SXP8IqgN
OWF+sr3PTk+OvSWChxBSFJi/qC/r3WAJ4kKqecGrmCztU9Gh2yZRtsjDwpX+A2HXEhOciXkYn2ew
9w3c4ER/FfssFu4hU0ruhZn6iN2kbh9qYraQS4wWfWLZRHNsWgtCPtOuTzUkvisxIvopQQDGKBPh
6jnNg/xVj6Q122wP9uxEi2PWs4JnjeD0UdbUyx9a7cLbqnrKPvwhiENG0OhTg6z30PqZDoJ/tmN1
GdXlHUQxk46RxWTndly1WnjJkV1kukU2gxoOX586iHlyj2vdNTuJ6exSeaP5AOkUTds05u8z00/C
0RShfUChvfgQxHFbHDKmjheMECPp4qs48C1PW6kt46Adbf0aaVqf3MnuqasJM37htEkED+44NmEC
aiNELxyVOtanXAUXdjU7zHpFRNHT7FVcAUAQAv/xCAgJ/tvQ7zX6oZOfZV+glIPHFveqgTfJLv6M
ladggPmC2x8Z66abXboHotxJ3WbkdvUKFgK9oc13kKzBExdce67NiVlmYAw7/KXjzp0ZU2TMQf6K
QhYR2geEsyK1KaA9CP715Fmcoo3xzvaYM2SZ8ftuA7jU+7wpe3ZAor2tk3TjzTzYzkOHN26bBuv8
hQwifl44xfe2MoCUoaElnRyoxlj0GBFRXkpltiGcgYabU2EzFivkAGt6iDuKAsaTZ4ffUJQtuRdp
BkJvDZk/keSiIRihzaIyjT3Y50Xybo3dQ2tL/N14GPdFbaOF6WluLp1Q+VnmmLrRcRXjoabHCAOV
2EfTFcuzOwsikovqXNTFm7TLP0bsPw6amViOb48RRs5OK6kmBps+N1PWb2ss6hvJ2PyxwGoNF64b
H2uqL/a2sboka54cpK+mk2f9ygktHIbB3ZFjszWZMh6AhCT0UusU3tO8dxYXEoNQ9sYZind1kOm4
wLIn9jbBAypAW8lLBzEyX1N5VZ6yzpXP0D/PHHRkKxvIsCDvnpKx/MZJrEi81dNrw8u0c5m03bd5
zdZsYeknvs6f1UJFG3fKPfvD6D67VumftNnoaECVhGEAMW7M234eF4buG6fuLEpQkiN5DMXWW3g0
DPCeCJnmQ1xIiWIsPfn5wB5lCi2flCLoB4ymt1MFl4aqIz3FpYXVws4wHYI0DhGO1/RZdT0S4FgS
sm5kTJZcwbqhzDs3xLB8cNP20JrUEKur/a2wcQgrSVhMvJacf+woCRNqaowo5WLcJ/VQ4FVLYj0z
xT2TfuujQ9S5DVpVnJp5HUMLMfC1MIQbiSnQhxWryU+8p84HBIIGCIDMGFen+j2v4vroVI1xs/Qo
bvna5pyVOCMAA3bJpcNtS/hSu0YmRdtvCzH50bcaVELuUH8j2BesRREGtWhHypj8BTP+Zc7cfc6y
ResGTD01XttsNM72okkonVjYGiAyj7M9Bky4p+DlLnYJK9VmW6KQKtYjlRP1juWHwmsuhLxYW0b7
oUTfkTguXaRZ3jI959QJVfcFVwg1pMEOw6XFP8LmPDAYNk6mA0q2sqbhYQiGnslpTnJsgkmhImrZ
7R5q+6M15+uYmxFZjjt7kD/yBJDcZFqHPJlf/CDbkd2G1aY7EDJzv5ZgDMRWrbeUhh+dCj7LMght
aKMdg41tATYoJBQnuWXzWB6CgaU410x1cfPJ5jnu6mPgk9AAEIkJrrueZZcYkSd8yDC5v3cXHCd5
lhQgn6v0OGEd2DsaQoNTsQZbSHqwCxo8BG1tzsNBlrSJ1fmw4o357djZXeLhweiBNiEho3JG2vhJ
E0CtoSCke8+oNN7VuRef54LwIIO1wyGw6PSZOWfeJUU4jTHGC9fe18euyNlMekcCr89WSeKHU7YR
2kXx1jTecDFdz3lLMxeyW6cHNK42pvF9DrYRgV+8wD/2s1Hs1j5t3o0pKGBw0qKskq0tc/XmnNSm
fmk8ZLXsmLIF4bOP9jSxs9NQtn+qGfZTmS84y5VvVhEH/Mls/JDNfLljxNQcMz9HeEn6X2jnHcgI
29Kh9GwwLXx/RECPzLu9anYZ8frtUWe+/4Q+WexiU1shzLpNj2k+0u1s7qQetqMD0S9nieRIw7zp
OOvpcOZgeS5N4dlQYGW3G9gy7Ke0wpqPZe1oEtOxRcAVRJOBtgcIjrhg2SdSpZEk3yyxfyE8AQ2+
CcXT+oPijoUm+5ogeEFUEcL8eVpSgseH9Nekxj9EuLIoM5uaQtxu52IjpGoPvdXVO65NYzuJYkZe
YxBiYZQTAljyIDaekR64uQ65JQ4WgeyTS7YoumY89+XBJ0a5Uh5RSEP8R04w3yoR7HtvPeALOgtf
Q/Cul12r9Y/RngD8zY6TH1uug5fOMpcHJ05+jI7N/rw23mF0iceSRMMvQzjNgf++qXLKFo8G4ui0
dGOUKMbLHDjX2iH3NAPL69WNvLRgcjeZsD85wBVbila8O9h8QgNGbugv1nuJOzfMSH3ZrsSNUUNv
O8yBSz38GU0kkJqreRN4hGHnpIVtiDL7m8PUlmQhl3gzkql8bSXsWNZa27TVEEC4wAkNw/BTOvui
Wj6Nxnd5e4w8SqcYWW7hFsMLTTYOIDe9ZjHhZYE1PE1dQannpMlT0sMDqYNl683Y/cCpUy/CO915
uATxIaW7GdEt3Ba7YJRnuQ/zfGfMFuj7oMnCQK5kZPeQvLsaWTzLZuL1LkZgnpuJfIqkrl7uFqlR
V6c46AMSdUe24sGMeWIkWWGsrfIVlfb8GVTDCURNviloOBA9zQfZFvN+aMAoR8W81Md0wHeHyp9Y
FyvBLNcjB2hXrX6q3EKQ7zlftPyvsBi20xP6k9Fqvz3mXPB/aP8sSt9jwmToDsG+EFNJQ43WZWfO
nn9wbTbW1TQ+qpJxyzjWzTtp8usBFfuo8D74TmQ1YEqrQXdh2yzNxfaYmNE2wCLyVvnCphb1vrnO
1xpoELNMW7ZHKQF7dMacEj08XwyvrFBiZQAtMCvuGztGUWN7BLa0jZO+aTG7DzxnkT0ul0XG/SWL
Ea3WmcnU67hmth/xsT3qRdc4QtZjc+2YS8jn9H43awzKPZhegjh7Ke062Xt11uy7oMnfEZk1YSu6
p39j7sx2I0fSLP0qhb5uJrgZSQOm58Kdvmt1LSHphlAoJO77YkY+/XzeUT3IbbK6Bo1Go4ACAsoI
l7uTRrP/nPOdkdKnFcYvMhKtF4VGZIybmOc8+2SE0yxxoQoBovBMjB4L+4R58UEroPVUB3iqzbpV
6lXUk2Z00CUHL43da+q68zCewN7jIcthSjC+YbestBNc+XEjagRGD/uRyPjvogu5IQHTxiZF/PAZ
da36HJ8I+py+pxm6Rau9zMOl6SsmqdTG2Xb8LV9EjgGyro6VA3N106dZlAI66SvSezO+DoWj7Q0j
LnHL3BFbEpkNG6p8DEvcBmG6mB26td/YMJSGubCuJeS3mFrI+VSJzHiOaFajVIajx6Y3LAtCgMBG
YBNZoPuVNvMr3bMl84EB7CdlmSfiJRVXZ1UuyUrPnn/jU012iuK+3fNXnI1pp8MVZ3n7OcWIeLAG
Dwdk0rB1JJB1pWiT3lWGY97blYhvsSk6uzbpsh1mYzZAlkdVXYzHHL9EU4orcxrCjs0fbbFg4jKm
FFeyEzbgBTs+FrNtP7LwV7ej5yS7KW4RZs2ubXdAWZx2C2wQW2aBSrzm8N/w6POX9ey2E2M2LPy4
82Y7eQ881otVilX5ybaC61HC2vdnVdEGXntrS7ufkTSd7yamzCS0wa/8iIq0fGQb8ppJ+uhonLu3
x/4RO9IUTpeB17io/bDMzRaDbH/S2uRyhWYF/Lma9tpYKrTt1N8HDZGGJo7MzVRDTYoZD1LMni93
SJp6jY4wEAkgm7ClY5EgEj1X8JlHjhS1j08oa24C3GXrptX+bkiGp2kGumja3bfUAhLUpSUZB1t4
Nwu8vvNs9O2bG1+6Ss3IVztHjG67xhOGG1ZwsImjxySR8PouSKVopOo3GE86zTIWPJ0dZ9v/Stn+
r5ysHEhTpzQp8shuIN8E+EIKiiPJMQGKGAeruoIAfocZ486L8RcllA+s8d8023qwP6ok4GKk/uIa
KE2EfXxxTj1Wn/cJEOAmquWbHKwApBEQaHZJ7nqeCjZh0iE7W0ZFdtCTbe0voJyssY8pu6anrMD2
ZMOX2le+ER9HHVD2RJHyhs37/ZB6MLURprZ+O1xZbNT7YJh2zsJUkjTx0h/yvjJupksKiO/jMWng
alVEc0IXsXpFQBcCh50xwu948xB9cKveGktrXqHkUkmEW/5oBTGH4jyXTIa8nOyNPlt2x83ZEezy
lbKOdoTdRA/uiXjPg8lNRGOF2naTj5dyKB7rIruB9myuE69xV4SjUgt7kOVTpjUuwP+qbiBGWiMm
1YxG3c0gJ9Zk5ef1SUJ4SZgCdBQfzYowHD1D0daSXfNE84L3o4ZBGBp1IsmmdQtfL9Z5fNoT7cAN
Tuh5yWmLYFm8HpI+uiPxuBxncMKo8EOxppPpScTevdeDTB9d+e5l1qmgipdAur9zBf4YQB33kn0R
4fpx3UFeTMvueR6zFzHVDFr7hlhxTR9hfh/RkxJSliUfOiwwa5vY9NkhRnZqqXYLp9hLngWk7T2C
Olsa3dfhgPEkXiw/bJMGKn3QGLtykKt4vNdoTdcxbuhjxr32XuoojdYFjJwrd+iYvYyCOyCuxJU1
2uhiNECbm6AZjvHkBiEhy4MF6BtHiVjSXYBNjtMKuwWcUTOPk5IA5toUrsnI0at2TltKvsagtJ/N
Nrl458ZGHAKKP78TrMUQ0IAkveIfzY60UjwNASOqwrC3NevbtZxBu60NioA/lpyNGc9DdZ8qKgUo
26OzRnaD+UJrn0EqqnSuFi7lZ10V01ozYyciNib9LesCEUKiPsWbp+X0kfgD5zqGBnK6QKFysZz6
SqREaVN3fBZDn95OhuY2nmmvrdGYVHKDuR1CHVkHtplF48hH0lv9IdH1wnJF1fSrotbnaUwsuqUK
nzlVFQsYN/QnU+6J9FbcxoBxKiq28Q+u6B9WgN6D1AUNZvvpE74FDL9AkUl7kcTecqJ29z4BlmXl
1Y19gcIDNJC5ml4yv/rAKQ45bB4+OJbjjmrTOgvN1v4o2PAhuC0MrGDZMRLpR5htkz2krBQ1/wtH
THDXs1cnbClN8VJlOfcSPzb7a8Px+u8O8HF/3dtRDS19Ej8yNuTbZXK9QxDFVEIWjFbHDgSTmNCE
O08N2yYtxP3oXbphEz/mQiEGb2/HxHMuqdMO/YnOHwJN8jLpIlPVOxTQxmKkIV3bQMAy6jWxe3na
RYYsIjAQmUulWxZlxfVgePqByVqybeuScB11PhcI24VhlgP45PbLpjj0PYgzvhWJ73XdDtPGLcz2
2BtF+WQPkgAtU9m9rwvntsBX1a99kF9I0cRNHcDm4+Raa9OJfR58Ot2iKO5wSFZE4IL3KjHhP7ZR
dseF3xK5k+Ohtmv7luDCuyRIj7GdPe1qVNOr2wxEUV2IpLm73I3JVIR2U4LINRfcPCDA4K2WS9jO
L01KypeYOPigGxRBWFIjVs64aUNK1rudTIPluZoSExsjLj7q1lSotQXEveiODohfqjmWbs8pMNn2
DsQBMlCs9aP3BjAimTfw+tuNKafuOgPQsNGMwM4UTRL0zyrhPiI2LVu809E9LSbplhoE/RqBEygW
hg459KjbquvK54oQMhhUmtPgDqX3o6IWg0YaIEqdbBNsZDwYlnW2RPKUMpbk1AEm8jEZzeFMKq2E
Xlym4CdL20xPAlsV4AwM1SE5Ys5pNECA69MPes6tfSrGaedqyQGtvqhq6QELPNKpg8nn8qT2OXhs
fEl3cIMhYNVg53/WY0Ov5Xghyw4T6bPFsEKQkdOmFs0jJzN2KYPb7YK6AcuqMqpwgDyGc26/ob9F
pwuC9oreUeqIWw40MwlmAvAstVNGlg2EwHSNi05884l4lrGptlnqzPt+GPx93jTdqVmslNxVb54T
ZU87RAbGnEMDIHzNroXy7kpFD8mkvRvGlbyVDFHQb2lNQpoms5lDgV557txcU7Qu1qhrpIvqxbex
UTTBclUt2v+a56osdqgvnAFR3fRRdaR7A3fh6mGW+hgv7njrjM2dES9hxTTvutWDd3ALP6OEwxP1
Ka5ihnGtSd1iiKwybjOoMmvay79a5VnVSnlIKn7tjD8KrAPbgSbWvROTi6OdtbF3GFKtk2vqfUEc
9T2fsPFs5GQoH2N7lT7z/b7NdpvtNEMEHl3o6quYvj90kij0sv7FdLNkl7gpyBhFKw3pPcZ0DHfQ
78zQdR1jxEY4ehuVe0iKHSH7ecETGVDi+DrMznyXzTwfm9bPVkPCwYCc5smvRN+vGk/wsEEzZ//f
zkl6HlqCghTk9A49C6zQQ23eoTVsU1gcq1LMT1Yh8h8LxNnHXnb+DxQ4eSVG65iOmUNzbUc7KIg7
BX9wSK0C2ItRv1AXPYOGbYHjVZXFVWEZoUkBwpuSGURKjXfWJhroMQpmz/DBDJSTh906t7GN1xNj
EKiDAD4lwr8+1EkFsbvXrnmiX5xbO8PEOdFuD0bCeI063b3JhP0GYL/JpGKFdCTneJF9RAwrOSa4
ygP0YmV7PDuSL2hsvzEYeoWy8l1pWfAY97onx05Ae7eCwAGP0/TF4vz5bZjx5LEKmfNedezTOWtQ
PpURQM4DzixhLNNpg4m+uqfpellHVeDdDmXpb2xK4/dLlU/LmknfsLX6uHbB4ig8GTQZRDSzqcEA
l0dX0OWAkzOW2C5+d4/iZYHwri2mGHGv9xQCSaQMI9gZrbbva9ecrnwD5XVgPTpj8jAumF/Mexh8
7woRu3t7GOKXZKicJ5ISOV6HC3DIwd+9Mgx32vXjZT5u5J0FMkYxdzK7MkDwotxCEUWoU4GZyI95
EqTECEDc4YIHBBSHuP9tIDzwf4bKxuRTLR5h+zrws9CD/7IJ/P4rs9IhHOqoJYKZYWfocsrkbYeM
GrP9dWpa8H1YTSExzOWVUdh3YiJi3Xu1AKqy+DekPiHspFp/n6gvnshxquAe76Ii+SsWeWNSGHxG
pJUPtuHqOwRs77sdQGk0Zg9djQj9Met8QiZxXIz0hkKpcUGbHGZneOmZQ+ewSAFVQACkchaAxI5H
KX4X4j2QUMszFrz8SrPn2tM14YSuCp4hncIEJgxz6cXV2VOLX+dOwZ/SK3N0s2fdLmgE4HkxN6VT
s26c5brjgqDbNprAusz+oU/yXVKq5CjKlHFkFATHjN7bJsrLcHTKgM6uuTowy5jWC+EP7gitjlaD
cWbJOuabne/DdcH//BJVHa4PYG/fDM85B130BM1V3VEwVYW0KOcMhCiwptQ1CUud3SfohCluqD2w
Ie4fKefTnDVMXgtd3RBB6tZVlx8ctrP3lZ8yN+AQdSWpVM5XHJ6c68aX9Z6530fQN4+uOZ/iGMEo
MMSxaktEG4g84z6Dqv+SdC0Ql6KUO+G65ZNFDDalpVABe8+qo1V744mZAJ4QV2jawuyW0lE+qIDI
7IpjcksyC6HaRHwg3YFfqV23ngI0Dxllbxsptg4sqOvSbClJzwcGABpojrkCZGjQ8WMW9yzTgOOR
5PWGJ0e9RZM0T6M9fTadxaynj8WeFmRGewVS5A3rlljj/5qP+Alc1OkYpAEwSvreIrWXY7CcsVgW
myWNGElJqzq3bC7OapgpR0rK5pXqE6JZCc3lJ11CLkikFXx52oHDCjiHpigOpUykAblw5y9kmlIh
v0EjnqkZrpkaJLVBLNUm+E+h6iFToj4AsLfvrdRLb5yqZ1C+JOQMpHKGO2YDyUdBLg/EUIMp3WEQ
id3B8k6z17svVq4069nSMzWk4nFcYIuv51wX+LZS9AThyo82ku6RjUr8wZCQPQS9AOjSbXafcggv
OQiMZJ6Gl8so6JsZ4cqiA8EcXmkxtp+ZbqSv+NOWW2YbtI3LiBLBTmafieFaZ8KrKAdRXTxGWZRs
kAU43lcGgXLZ+A/CBCaRjC1JKFAV5ylGPl83oPSPQ5LlX7XlTA8Vj1eEGYpzWtkKgXeiKPflQOjG
yKLoOJaOsyUSj6rQB5V5VxSzemXM4l0jWRWbAFAmGWfl9rcoBu5DOXIApz83f8hr43vWd8GWvC/Y
iCI6EhsgdOCI7jZutfUuqomxYs49s6rwUPNMTA2MQUCUqAuzDz12cShTBjm5BbkYAP/YhUXlN9ul
Y5DRZBLyvrStLzsLohMOHSCpjUGEh/jRmNx5bA62iHHRsay5D8GilVy2HPU5OjMtQI2yz6ruo3Mm
Zb2JMQI8VlH6wNOVPY/gLM3j19l3pe+jpSX5qc8L/eSpZCGf3iA8GcWAZs22NmSPnH+TBAwZRhtR
8jK5PjM3WWSKsQPz7QVfDUsUcNKtbzoucQdvea+a1KPIF/WuH0pnLTlyrmVGeg11Z35gGjbshfAv
7r7L7L0xx/4Lc828DupYPCyttdAJMRZrvjeg5nQ6HZtcecw0UGK4VdvV4JaK8UkPLAldlaQFtryU
yxIFu6RANB3uiZANOOMGmgdkFGxxk7HnjFNjVyHdPPQTeZV46mlpcgnjrfvAUoJDJSGPxQDCPXdL
BTuKz+DSs7BNC68+1JOKbrps7G5d+FVkdvj9Y7gOzPJ9N+Ajtz5ZcIzrKZrJtHqFERgrURSsQf+K
VyzLMruYt8mkhLUugvpTtHW00SIqXguQD0goWIafvAL9Q+C+upuqKHujGG26EQ6iC3NazLD5ZBSs
SFn1swDov7rVZvdZ37yXn/3/uvzDH3Uz0xiSDP/7t3/sf/45/qwv7vPf/IENUzrM9+NnN58/yfjx
V/mH/v5f/md/+LfP/wwkk33cXxvhu7F6/0jeiz/zwv/8yz+98NL/xbUE9UyBYwuL9iqaY35iMqX1
C4ubi6/9/zre/26Ft+UvrpC4JYWN0xlfNaTWv5vhbe+XIAANxzAKvKSEdf7PUDL//dV/RasEBeNC
lzV9mzf7az4mWkybZNDOD3RDMEaOLFV6hOnr+bavSudJ1QR9GkADeaicdoEn3U3VIwGzedMlhfWD
e0hmV3OtaMzMB7HsDRg7GJEthZu7DqBVrBQeQcrEOZG3iBakJXEoWslBjGWgbjV9gB3FfYsCguzk
55k0CcmZXHqTOOFOC64Xlo07oCOoBhzrLjUp+MPXCc0McisWR2KgtCbzFmt4b4aR76lrCSnoAHx5
3o2c3k/wJfWWnD2UPGfSe6F9eZTzBEnXZljoFCBteFgMzzIzmtBTjMK6kfAxegdPNpxP9srCS7T1
tU/bJus4fYxLs0acX+Z94HUGgxI2HxPnuNpamCmbsyivfBdrSOPD9yCO7s/HvgfaVcT1JXcLifGc
5x7GJzLYt+XcO3e9k8QPraLhz+nyLSgSQURzGS9BK6sG/YS1LUCyvRX47r9VRkMtpROQqGVsv2UP
jR3CnIcNgbz5LlBEcTAVLu8W//ybIN4W6iJjjmlF/Aps3daKrDMeO3NM33vcvleaMhVygiWjNpxS
dwOssLM5eMUzggjz51447WFh+ECLXGuO100vvbt0Km1gGIF9zYa32ltcMrct6/hDGosPv3b1uU7a
Dv/zON5IF6bocYZsl99VddJnd0E8d9NTMbvNCwaymnKj3JfuTsIFuKFubbJDv7Cgpq2BMLvLg90u
Vs0hP4qPyiLGBQ9yKt8aTnfWUfNlMa/3gzgJnbThdJlwoEmPfpwvO0PHy3tb05ayaYyOvsNqKWBp
TLzttZPl6Rb5wvI3fqxja6/MtjimqjUoFUA5NPE+GvkZULhS6yBAfNuYXY6vNC947JO2ylRPYCkm
pVyNKU2rA3sq/G/RHN+UQyyP3hiXxMjcILqv4M69wE93P0c2mfsEMrm9mh2IpA6WJXxFmc1TNxir
fTPLxT6SCQ40Hl8wp57I8mtwBe4NUPrxHPMcfhmxgDympWts6TSKz3hJOOo5Zlc9LGBOHq2FsHLQ
phETcuZkRy9Q0ylpXVHj8ej9qyRHlb3MeMQGm2ONkeGS7HS9zA6LIfVfICt+Tc1o8FYB+QNgFRkU
Abof3zqqjrHk6hErYQ9a7L03k+kB1qb7Emk0PJLkU9SAqZ1Ja01B6bxBvLU4IKEx22xlW/1oubq6
yjxE9ZWubHRcqNICvpDJjIctMns6oq/Anp3F+2DimO3ZrAztxtELvj0iLb27d/Uwv5lBZ9wok6bu
lVFFgjYkc0jOhpu11+7oK7Yb9vTDLDtaGMyhD75BnQOvCI0GLSa1zfjFHtUcMejVabnm4ugoiPRN
+zVgMvbQaLN7Qi8QjN/cqJI0NAfyZDR5wRO0LvsxBG6isT1FLWZzz+pntBpXJd9hH4KerJqg/daS
ZYM2kPv9clJDI6rTrLn7tgbESwC/qTcekwwJZMc+zQd2COF2ZQ1WvxdkMJ7Ijyd3RNOD77W2hodg
ErRR1T77Zb64eFJUrmZ0L5PZaF2i/JV3tUyNdaCmOJq3HK1hsWuog/l6MFPjdiYqxHjKZFSD7aIw
vhgqs7fuS5sAe9+bgiuW8V/YLgxmlsRxvlN8MsNrc+l3XFsIwZSQUwLzUmlOtducITCakESIARJL
izJ2DZj/berrTWRM+YRmlbfPVpktam1UuoTHRCx2dZnKbiQJp0tteY9LBXD8cOq7TN6yOZXnLrGr
G7inDM69vnutbMdzNp2J+EpuvaSQk0QkdWUMJLN3OgvYwuMlgwGBGMsNWRWcICpdIMVUWLQ4s2Ks
7CiZptTHxyGELpdT0IsC4Neh5BO1wzSYxu/QmfA0ZzpF2m6r2cN6G6XdTTfr2VrPKbAYFVnzfUWi
9S1va1ECywRicTflOtnT3CnevQUU4maci+Em8JrltdE2KcrW6b806Y0yNEhpUvDgZvHzrArW2XzC
clp26Guw/AxhXMW1xOiNowUTfZwZuLqc5KmbPPs4V87QHXNSn3SkjwaoqrgL1E0lk+4W1XAi8dIu
Z7we7NgBPUYr3zL1Q2e77Crhj0UHkKdevLW0UxxiTzUSUAYX0Nq2ZxBd40LYakNp4rwDGuC8U77S
HcbWpK7Y4oSopM9sxe1cqqxRzHnqJziQOXa1hr4zOgUCohDqA1P18CNuCs5TYxaUHXtQns+rmdvz
nZaVCSgOTc8kJzzm33SsM1kDas+TOZufY4U2CXbFoGBAyibDS9IkCnosxRTIHtxf8zqeFgd0BZal
bBmHR1cUmRW6ka7ZDhROFe9ig2m/ZbntdcDAZVe0mIbGYNQvhAui/LY0SqRO2V3WpialHAJXoeGc
4BEM5V3DyQqZ0zKI3evWnfeV6SPLAU1rNpSq2fWGxwpxe7OQiHXtEH8s3UWQDQL8cUGraV2QZZwz
0OiCDp22YEzpqGiejwr6VHwI6CNNNpELhauR7BxMfC5PmkPkp8hVcDANWX0TIk+eJXRZJoK2qXbK
NCyM8+6w8zw9Hui2C3AMVuMXkGFwYJFDjQ5TuUhN8E4t6wCGCEQTMYF1JgygqJ6DKVAH89qCoFqv
YdKJD9eP+3HlyUY8+lO3HBfohQc9qKwldT+bN4WK3dCmGZlRrML0PUL+hUa4NFS5+NjTHUNQvtqm
HY5r1ZCZQSpovy/wz7GymhUZodzVj3XjVwdtLj2ri7/41ynLLp0gBdhJ1tH2G+XJMpyCdNrNouU+
ZzBX3daYOXIifV6x11Y0wGiY3BPE0eUU2cF0r3tH7JpWNXsoDfi78JO7V8no1HtQnt4rsQwuT0fB
gIkWK7/CDVd/JpBnmCzTRXUpcRHJ9YwH9KlWFxBvpGFatnmvdlNeyFv2KWQJ8YUmqwKdE5JLEqV7
13Xl1ejF8zG2dPE2x1P2IOltW7Nk9nvjEru0sa4cJWDjjjkED4n/3lqC35yt/mccpoj7WuRs/9+x
4m+f/fC3FdLge/GbvoGff+/vBynzF9NzA6o+ff+3oeJA/BLY0vECIZmb8f/0z/7HScr/Bba7b3Ih
UXsCr4Af/cdJ6nL8osCAxLEfcLW6/1TfwB/bOmgltenPQCphYfUuNRe/6s7wXSNuC6Dfuy4Z822L
CIGV20tDtOcADOZ8+NXHc1cXwPmqv1VjecFUDP2//Yv1+/CwJ5HULFZzn09E8kZ++3qZrSNHmhLi
Yt6zDtp59omnsr2fLJpdCGyosIwWpHFgnIQFKS4B6orsNcKwizDATbYDLyUKpn8Qa7b+0IPK72UH
ZuCanF0xS/2u/eDCzXLpZg92MDvfhorfw1JgP5HNmfy72D0XEstgDLcRY94wma9FN5rHv/5w+E5/
dab13ctn43BAM03bszh1/+53AHblRTobg12T6nbHqTA6BtilH//6Vf7kG3d5qyLwHelTWnH5+a+/
cT5kEBJZsHNqIh+5+kbenbI52ppWrerVP/hg/+Q9Ccfk3bi+sCnB/d311dmYUHUWyJ2skGI0FotV
Njb2P3iV33dX8MlJ7giy9sBNATv+7qqycXW3SkT+Dks2byMHpVYV43kq049/+sOTFjUZnO5wKlHS
8dsPj9Mpn+jl8o1SuHKlkX0B/Yf961R37NZu/j9ejJMFDcSuMIX5uxfTo1vXfu/6u9pxgaMHBPWS
CcthuVADobHV/PXL2Zfv4ucte/jxb//y79cfg1V6HFxWBNcJfvddpRZKLo2M/q41KIDvplpeKT8y
zwW22UNdUgHVgGHkAA9wdKmzemuZZfQdBiC6baXbM1DJjil1OYVO7nGYMwU9JZ4TFKFASLgb8B40
IbISjQpjVkHVKNkfM5gmC7ei4pS5L5uDEPCoNzE28e47mvh+Dvx+TtP+bP35k/scHoNnSxSI4I/X
o6K6Vok59XdxRXyG3UdwmCeBy3kST8ZcbZss6g9VF3/5TtJwXM7tR/YZwT/4qP/sepWs3JQ4+0ge
l1qbX9+DXTa7FRNQSZB7BNrmwqw3SataJtjCv/5S//hK0uTB4+BhBBrxh+80aYCkADkNdj6tlmsN
NQLXTflG/NLe/PUrWZ7zx6UF3inagw161fF//vxXS0tbWo7h2z02MngvG4a25L9Z8e8Y9OizZ3Ah
2O3wGOccsAh6AVEdArNdg8Rp1CqvNRpR3xS72aeMHmqY8B7Q/sS7mNpgD9AU85rTjvOD7Af3ahim
+gRBIqUWixQSFowxY2zG+JGstkXTDLGvgynngIOq68EEBStttH0bdl1LaF10Ep7vaLKVF3Etop0a
bNxlpRVdj0kmbithaQoSkt7bxJO2CbIE6W1kltk7sPLy4OJK3lw22PtZXjKMU+sf8nbwXxgDuLcK
bW2/9DQVGBGDDiE7D0qgHV1b2RxK+EObImpKYKEpBsvSItKHd+TRtbuGQ37VvAccwlYxyVaKw+aW
43nN5IbmRkoRZVXsU9AeD4bZtLeBWQaggCFyI1FqYMSaoedLo6fomt6F6DmReOEmypc/PHUh/kSm
85ob2beqsBHsc4Om3Wzobh3ZOTd+mYStme5Jjpf7itQ8HGAqmc80BnFscRIvILDs9LfLBJUuHlpv
17cMA3g7lB5OMJaiAqdgv9BUepzqVMMcg/97JeFiIrDloGDxXEajvx7B7HDiUdMnWyY+k0uwJkng
KNXFaFGcEEV8ZI49ApB2+28WmsmzcIMMOJ5oepCunSmf2bbBc4ABOzwFVOUdxhHKu2rpeOk84V61
k0dysjUZv6Yx3UDrduHRD4UU+Ocqo2t1DHP29Hs7lt22Cvi+GSbz8U1GL94pCFQhDXXQ6M3JSjdu
I8Rr0tjzyZe2+0pMCmtTYObJLd5kk/j5lPM6ATEHTjMRUwJOnjPTmbxU8hmQKfVujkNJz2Sa2Ucr
Mt6DHwmueDll/UMB0ZHDY6KaTcIW51hSV0c5hP+1xJB2EcOZ1IXm4ETZLrCbDFN3jpHezsv2uHiD
V4dpQfY2IoO4SkBH7+yFDc6K9aD87gFZwFlZU7AgXfIdHVlvagrzcT9FxKU4woLly9wYZAnw2m5t
kvsJkWpv8lETKHVqOtZBwvH7JgqjyyoJKFzCPeUltNIa6XKFOWU7Egs/JlJ0dNJV5YNTKeBj6bzV
VEA8IhLoDdNhEo38bntl1PFWtoPcB8Is+X51GcbYH8cVRi9+1aQYiWfUIH0nJ/BPztx+1hZ2lHTs
CBknbfsmI9QHNqgMeA2LQbxnIOvl9oSBmgArpEtaecK2yPn0yc/AruOUk+gZMG/VAclzRXxJfpTv
JmCFm4xI2T5wuugHormIGGoqdT9lEE44Ek8Pke+Y+yw1io2ap4TRLE9htqLdxwQO+d6W/byXyih3
XT9S0GfH1hZlEUOzLbfUxc7XxIVczoMq22ifnvoOsMxqQnwTaQCaOWiHdbkoFJc+DtaIvE/UGYB+
RFe/NcgPnGjjke9p4DlP9iKGDRYoBxE36sYLnJ78tynqfcIcCymNcCz2gfiY5pf4VMPmGIs8JYHN
9BIEHYTS2oQaKsCxMN0e9120VNcDre/4zF21hLQSu1gEOopescAwmKKFNdQlG29HLDe90yabKfMv
U22/v26WPP0OjqAkQoGFmsd8umvbXN/1U60OJJuilwZ63WrMF/nktS41Yd1shNXsU2Qis5eRMr9d
3ZeEb6uoX8fg9YryTMECGaqk9A5qZNAaXeLYC1VkBbLztnY89VmpihF03nCi5l4zrBeY1841Ltpr
FSXkdqgzXmtlEr13Z+uKzldCHtSSFtsOEEQoilpta/did7JwG2d0Gq2WrpvOVHdU6bZzicMWA+Q1
KAZfmrhmqXzxyCZp2TE6pry05lb2EN0tgBMbpWrr2q2G+ybtrpwM/qdvGRAfWcEpWa0QMkgM0Qil
EUdYgOIas/JAlJdoV5Iu2B9t5iDOqJybVo3RuTKJB/tRTBtF4F67NQkk6AJAhkiGbJUa27cIJZfw
qkUadsaBL9pgm5EOVCtPK++l8iHtUpU9o0tHuEECE8w140VDsa2aq+aJfZkmmZE6+wLG0K5LFTNS
FpsbxC1M7q0hHxLe72snFTkgRrZI94VXeprlvKUFxyrG2g9psyHVIOYunzY4i2rCd3LxMUdVCC0x
i9e3Ken67/BtIngpDJFGqsNnjVGgwic59MvXTJ/TKk4vEHd/fC+Xoj7wzy2oVLrfZkzt1lTztWE/
F2fW/tBk8SGHYra7JaOBBtRW/oqC2R6hKzB1H5dlZc2XepoiTtCgQO/gAOc2Vt2pWyJ9S03R82Rj
bIul8eQUCjQCD/k7D5r7tge6nkONtnDzR57iys37Yk00COyFZz74KV4CuETGSmLh36OUZEc9M8ov
23E8jBFMJ27oiq4rwUUxtTa87rrwdiwpxibqenOFqlVczQOi09hg86zIvr7WgdtvkDWYOc/ZiTpP
Ugy9rL94IIGnBK65X4gpPcWWieE4ZeT42RWLcFc106ow6/pltSzSZM8o5i3V5TVYrbo8EAP7qm1Y
BJqx7wOZmnaLpneXdlN+nBch1rV0kDUty5iepzyPv/DidRumtvNti/vp4Is2Ysgvu/MiinhL8vcH
Ust4Y1VGvC1S+k+8IKMoK8/GfK8nQD4qo9dojMiuD6V53y7wMBAE7S1jWb1dICgAFHXjCjsWV0Kg
bXNrOSO0GDtbtrVO85M7kyJaDeUIb0Dng6JtgiI+WxPFi7DvDNiw+UQkkekdQzgLHgQyZpN4p9wd
X+ZO19e61je6qPsfomzGK5JmTRhbhSYtbt8waOs3Mur7d4de8R32pumA4XKHc+WZyj7av8aFJh7q
e6pjHZXZJmk0LXujx5iz18ON9BVETB6Ce4BNx2ouuycXGQZMWWCHLSbmHy28D57cbAqANNbQBUCy
hY3N2pzXXnxDZiG+p/+2WsND9lakDLCGOmbxf9g7kx3JkTNbv4v2FIyTkVxo47N7hIfHPG2IzIgM
zpPROD59f6y6t1WVpVZCQG8ucBcqQChUejqdpJmd/5zvVBuEjP52jNVLPZV6VRnddWz1+bqYhi2m
OkoJNX3CeTduVMVIDV/qvO8DTYENwOd2rr2zNRMitJIkuWNjj/8mIqk4zVTrrUrbt1YUhT23SwU6
qua2z8RHKZNDN5j6CPWalEPcWjDKPWqIAM6z9o3OQeMABNIObiHAa0a0ZMdEYaKMsTb8U1AxIbRs
ck12/kjgodg0XYZ7fXA3ZROBecjGbOtH9DJJ3Nv7GAr23ubzV6pwP3Tjhq9eITU+F57mYZI0kcwH
XTdPk279VdvTtmF0z35qgc/o5w2X9i3QBmt0bHz4SfVs2dm5TORD1LNCJYV5gf39I8p+qMHv96Q3
u5VIokctUUKLpj7VLiY81zwb1twxQuna61wZsAcCk+abgOrnwQbMOnq4tygPY5Wixqbu97ZsipfZ
/kSKy3e+1ZBRH+j/ZlaNC96dcCsVbfLYVQmQoLZ8UrP/LJuU/zXfsjp8Hyv3OqZT17FcZkOUK0CG
UMCii/gptoKDWxSPg58yHGqOtXbytduWN7bM+LtbJDlk3UPzhci90mk1rCyjSzeOi34RNxZ1iEOz
Q2W+x9PuHrF/f0d2OMph2hCHJqxPq5om+Ltp0jg80MnbX8ogci9T7bU/dJ4HiGbuESA/oBsMi7s+
HOZ9MYTf6QjjYM5x/1E35JmXQz6PrOHKDyx29a5onXUUFu5OBSI/TQwR6YsciBvFo2y2Ds5GCK5+
t2lH+DaEKJCTy/JMEn9ct+XIXqWGTmdjHtsbEUeEdsCN0bkGexi+MJAfJqlWR0jdcWhcrvi9ObcS
xza8B19GF8cmcyot9d4XeFhJlBBoZfdZZBZdFSHvfNJ168YO7uPZPttp+KKn8qagUoDwGr97ZEAU
TL1cHeN4Jp/mlE9CO+Na9RQ8jmn9mpp9tQHRVa+S6rtnOC9Aa2BGkURZT3XLj6ay59qyu1vciMXz
iBi6mjDvHhRdEwdnZr5ChyneraZNvyV9p/GTgyfsEEROHsMD0n2NsYHsxd7WU++luSQJpOSbCoqF
irS/uGYzMYe0aQ2y8+7Lm2L7Au+Y3Z20893EqG6HYV0TDRDnkjMLwDzHPw1lyOYIEptrqVulOWC4
TG1f49pw92UcduDE5oemiyqKNinr66Mb6Ij60jbkYUfeHVsnCOWZsR0W0nTk3JyYkO1mCwOzWny7
QnI49kv1YmeA3DvfFjsrUWIbhZpulUGOj5YBb8EryQMNCqp5BHP5Y+RLnTxFHo25D915ZlcfrNjo
9qy34qZugPZQqFmeCoJ8BGO2sqT/RUxNvmW4k54zYJvPLUbWZ390f4QjQERIrf0+zm3xQnGmPpRm
ajzUda++D9zbt8THJNkI+NrYaox9reN+PxZjvB6A/N+4XVtsHWScDbVEhGcY/hCpYzdfsu9rvSex
VLF2kbZ3wky4DVs0vnUOsEasurjujm3BvJwerLepYatIK06G1z0ut0ljTmvyrICJOSLvg9S10apT
9kqpoCOtKV0wXVKearK4bzhFNxyY5Dbn8d3R1tQdQye1iTmD/1dA6G4T4absFrP65Hlxv9Ao7mKE
qHVf8IvjMw0OVu+auxEthfza0O0hwSRnZ1TqiEd+WwbDuAt40DlLUSLDXL2nWkqxr3Tt4hwMHRvc
MoePwfBt08+UhNdzr2jnsOS+yLV7xedM244W9P3sWj1IjME/hX6Ac6arIDgn7OY5gD0MrWW/ZyVV
UXLUnzABgGlmEfzqOSfXEYcveTJ/chxX98HQQJqKlAFo3ujaHTDM/soQ7ZNluS98bHsqVXCMZeds
W4Bs9GkwJFUhkptFkxtD0UbFN5Yw0IZKRdq46ARaULHMFItErkFxcPtUVb1z4yqMdhz6nJcugoLN
LVi/9CnLdLgEdfyyYwQbE7hag4kp79AqyqcacAUehLj+lmaxfZ/0ibi1FsttPHE0ZJKbqNvMCr43
TOzv0eMk7gpQeoVTVxQNziDfAw8zb91518RK1XVZNdlWBiOFHCPNAHUTym2DyWJv0MiDZ8QHOwOT
DYYhw7mVC5p85ZtU7qbl/D60jjhEczS9xpWi6CpNFQqH/A6fOWVzAKyAAUG0bQu7vuR2CEakn5Jr
2XPS8gMbyksj7gJH1mQZgKwcRqjC11FfUkpcVcmV1fdJTiwTRZVEZ5d74Mzt/m5KhfPZp0NjnQyg
nHvwa7a/tuXsvZrlKKCqDt7oblUXJ1/0pCkPkw+G9us40tPjTFDSW+fCUOHWN4i7bpxM5a+DdLst
jSWc9GY9PwpsRfu6z1kdp8zZMDV5SAHZHVSgso8iJCuX4q3b+OMYbUUJQCxra/cpzMqrTPc3fmGq
U+5BRa8y1g6e1Xw+k82lx9Dzbb6FNzMJjkFqY3nJq2c+SD0VeVm9Zsu706yKG+b12S4tceG7mMZ3
lDeSB0t9Xb7V5K1O2i2s7YyPYto4VRMeTBc+29BM8wNxguYxyWznLIpAAAEBSyoWo/VkpKjsbV7n
B7OG68BHJx2Gk3DGeDOZvBMLwfpL4tUvqC4hChl5g7ElO7dg8mIjXeeaHu3Gi9DSpyYLN1nGYkAo
rjPAyzVtDgZ7qL9Rg2W5y2+SPXq8f26wGeIjLV2gKSGHyX3HpfavWb9jjHaWug/dlrdXdi/9oICF
CafNRb9c1YGIzoPb3Tp4nqkh5O/ThkB65t7Ae0GZQRIO67YPefEyR9gZNOitFGyDvUdYsSZ4vsa8
tKaoBIjwmLn1qg+a7OzSkLDKmvbZa5I03pA1MDgg1PKb5Ch1gNlnrZWifWUIKAXxZt3dc6QkqpwV
6b4gZ70dm5q/lY5fh4nVz3K7cQv8V+yRPj7nFo8h1AqG6tgpuyk+NIOG5V9OgB39kLiUVbZbewkw
lB3OoDwhgFpq0FtTnDUn20/uKWPotoAeTiGhMGPN3WJuJKowKNqwO4MctL6PlQeqrEiLwmQPPhGr
JxrrIoXW+gpHd7f3PNeAz6uE/wlSPdgTgahfkD/qu9Jv9X004OD3Az+9cOU5FyPd7cxeeRf2ctDS
msjfFTx9G9FbP3QcKSIG5nhxZ4xNKxo3w+9osOzw0cvrqxLfCeUkvPPEqm89z9vBOYBoQn8yaaKs
CrT+Anhmjlsad2eBu3Nk7AhYL+adCVDzibW0c/Ha56hZ7tRxDAZGRQRcB1NNd3ABgCPySTPOlVec
tZulT5nsw60Z+811i5sGrsYycQkT432q6/VIucYWAi1/eje09+4Af6qoTXFBFvH4o9sA+aJF0XM9
kmS7gL1sAE6sIToMcXhbxIRFmPTQhK7KDfCqnrB8vtFt2tITlm45AYXrWtVf3ayeSNYGT+U4ALho
gXiR2CvbgoTs/FqU4wuEISBVOrMwiicboyVGTbY7Iv+eJKeoQhNioHOM8sR4bgcDUF6CdonsTvop
npNTHY6booidna44dTWRmx58EXCY7R0D4SVW9pEdLEnfhOQPcBTNqkii0K9bpJ0BVLTyNRSsdiCC
D04Bny1TFeOmIstS7YRRoOOgaMQPNlBssqVddSTVviAn4/pB9lOBVUzjqluBkmNKjeAhQYR1lsYo
S10uLzBbPoqobg4qizhEKk4r1cYOHXWiOlHo1SQmwCB+q1ZNhKyJA1m+8r3mnabiehlUuNWzPffk
8zix5DRSRNWC7GvsT+KObHqpwws2VKqYFibmpn6CMsXLkmIRJOTMDu0vR2Y4FQfKT/cpMwSWN/SS
F3oXvFc9xd41E6nqTKuwd8/g0ztKy7afhEux+IZcI2C3yHAG4qR5G7z1k1+xkTHgp9I7pAX3tsDi
OktEu84teLbSnro2WOQOvKTSsZ/oLhLPoUhrmD8YWlc6aIkgNgKYjcKNMq+awMk+G8MVx3CkrEcw
GXlICjeMMNwZLetOJd9Jn3sX6qry72TZQxTTKLp0Y7WgoWzQLi3m1W+pG8ynunCWTp8hQIbIDQ5M
NNoogup0Rz4E9EfWa9Cz5reW8obDoHRfEIeL5W0mSDLhQm2jW2PGVUWP+24x1jyLNtBfVWlVzwyR
wpcCZuebwbO/NVqufMrlzI6SneRhKpP5JZyq+BUuMo/mlIT6zVKG/IYK7LznGBTXfT1jIViamECc
8XZeAsUlt8ipNhyHJaWCB0it1pc1+zgR0W2wPWPza1vfKdYTWYhnwy3ioz2K6ayGIXhLTVDdwmuJ
jU0LmBiZWTLH0BAgKhV+mxFZeACqvHnzSx2e8CUTXONHUPuMDSAe4KKNd1GPx2owyh992VW3oCnE
nmGDQTOFq+imTNgEmZnxniD3UO+FjQLtRtDYY0b5vo+y9AYfB5QWXvsYX6muuGVchi9pxGu8dZOc
TUlpFfXD1JIXXmVTDi9wchEhHatNz5Ye8qMzTP5xDGN9SpyqJuKfMBisTG036xRA6Ay6JskJyg5C
bKjWrs68MHxg3gm/nEVeo9pzTCa631sNp2h6weF6EwyjqWYmCvxhpmq4Q7AeboUImwfg00sOpcvP
pSiz0wzz9CtwXP8c6ppWKsczjLVl9vaXS9HZD4pcBofO8qp7K7GevKZKtd4qtz0lN36yFLNMA8hj
ikNsSUYKDlbMgPSxdRuTzp4KHsWK4Iy4N5R2niOvKD7LSD1DKybN2LIj6Sf6Z2kUxbeF4t5ktzNO
329FG8TeWqGdduynKAT3kN7nQ6uR9WCNQxbnGMBF7uqeDYaBjVOc0hgqxibWpmDeAD/jBj6JSw0h
U1feEVEJoZNcyxUlZWC94cgA5J0hdcD96YucLBmLDQ5nBtE1HbrnvsH6vOKWsG5E5yHYeVpT4C69
6FtHaTxwG9W+OiZszE0BDuHYF6q6j/mh/J3jt85Ty4AQmH3ReJ9sjZx+FSTF9JHSIoS4ktceVmns
bmykrHaadtzNabunJXlRBuknkWsvKOV7R7kBqTC2/FdRaA9PUi8rWyCHfYSJtcVLbQanyJu+K5WB
pPC4KCuO1jwn7JH4BgwTTEuuK5qoFh17ZI7jvUX5nH+qaAiRLLULoWXCKmKa165GwmQtcJTc2w5V
yBsPBdsiJKsYeNj8i0dT9323qifHLLd1ZOPZ60yvon8uTpDOWpN0dOvkR/IULljaSAtz4wngVABI
mg81US2+Hh2T5Z/RzXSVZUa+FoOWr3PD1IEhBoe3QoVFdoDcZ3+S4xJXk3JKDrjzZO6nHgCQnZEG
yMl7U7/IEIhbsjzCnmNQ5jFMu8UxOcJwgTuvVm3YfsxE7NniWYZ6oVO32Ax0sIKSqr/s3gyusF8G
JLXt4HaYbUJWfO32RAmlOk9TZ2yY1XLGn7KdI4WxMpj27TnbwEzi1Fx/NX4Pa4hIXELixb3kzH2h
pDbRY1wUdrK2WgO6cWHG/Y65PWGG1vkGTH26N3B5fhgSaQeX+/VkmdVn59rpE0TYXBzmoQoQf53m
FZciXS3kVG5ycJn3kWH9yojxV8tLIBxcUCzcwMUcZ7FP/MGxEGfCg7HQ+MuZnuEpJ+ZbDxLJJYfP
xrrNVvWC0zZ9gh7GUvrvDRPOv7JLYEFhCmp5Fsabn/w9s2VIPwHhvJ9kpC/4d9WhVy1TBMHY3h5g
75F4ZGmtRNp/DjNLiuq6Ylf3GTQcftmsJtbr+wViZy1o2C4ZMJWjtHegDFvmzZZ5W0YDrRBWIcHr
s6LOByWd6jQ4KX1LLW03Vs+owkUbtHFqwbQdMqq5sezWrPW5gbBNw3UxZvRt4A7ayJB3Wac6hx2K
+zh2HA7cYTJvm0R+pCXpEIIB+tAYvPDTqvSqFYcxrFKjb//i0ll/tREGAZqtQyjbQh30fjKxFdxK
XD6H3ToeSs4N4tZxYOmtu3Q6liaWpWHCm2HTX86MqJuukrabdkG+ZReweAwGaxMSDKDsKO5Lf9UV
cpsGNDwJYKzrajSuRtFx3s0zNsB2mh5g0ni/MOYsRtKf3FZLgg7TJ30b+Bn8xTn3h1svYS2p+0AF
e6HqlCNO0M9g/OcxvpoNfW+OPSR/Fuf1NLXxyRSi+8HEqzsqsbj1ENxcs8x4xAbqTUt8G7+4N//V
X86hcob+lwBn6k/XN0LDk6YkeJ6ZCFWMIiE802qtfvEx5hLX+7PlDM8e3TjLI8Cr3fzpc2oGxk4b
YvJn/DllLN+ecRgG1UGXyRcGgUYhyKD0lWZYbsKul/cJm1DY3kOTkVKxgguFihm2GR4WIivFRdsd
wdosnClnSsRjrbP2+d9fGvNnSyPva2G6LkFLbL1oPz/ZNJu8mREkuPf61uKlMMOEWnsCcTANsxre
euw8B9mlEklF/flStF5YpHX7PD5NziQ3mBmmTzcFnfjb3+t/O8t6Bg9RtdWX/nN69bdE6sd/R1v/
X0q84ob5wy/41+onBn3FH93ZS3b0/zY+BfLvizmVAwgLm6RzjRsUz4X+x9/84O8evmzHk44DQfy3
f/NPc3YgPUKxVEKZwIsXH1wLpS3+x98s5+8m9uGAMjLPddH5zP8k5sqI5k/Ph+9wzAz4JECIgefw
WT+tT1XsDYIjkH0IY3rDVogcsbntzNCm+bOiWoTg+Jzf+kkYx3QS2H65BsStmWnrlDRirL2+XSlX
eIpBizbxOgnKPu3C7egANLowoa3IoeqIqMnWIo/yY2LLPbCp8pITqZWOwX7ns08P+uQoy2ib0hN6
6ySldRe0JiQhcMEYgozyerSC5NhG4XjuLOfBd+p2zRUkpFObalNRm3CGbL/jwL1JHRwxOBVPbITX
Xk1166yGGWMDp3NrieDPyq92HshElMZuseqBE6+a4BxGhnmDQyvaO3PMXCVJriYrpyADmD+VH22w
q1z7E3SAi028/aD3wN9nNSXvunXnVTeG0xHyvr6bg2AgnyTiz6ChajqfTORpU3/zRsM/YMmnHL2j
228I+Ew/kT/C3jNvdDN+zh0oZEGj9spJjRuJplal83fIU0cjsje6CF/Gxr6CB3XtAG/RU3finLlP
YkErCDOhD6fyh1042p9sfvetQzVUJieyWSxblKw+RsFig00YvrjZolhFyDKcIF7y2B232vNeZSqu
U0Wnoe9tMGqrddKNzTaIKKPDEUPR+sCOj/HlqSiqiYoPZz8aDK+Io99mqmYSMo/LeISWrgNCz/dp
MCCcKynuZltal6lbNqxsG9+L1iIkWMk++rBChIw4HfkTOsYtGKacD6U6A2NO419IrODSGuX0pRhS
r6hPtRtUlXG+gqk/XKs4uwizTr4cNaBkT7W9MiOmfUVLRI1jof6ss46BjA+uvAlOGej/tRmZMCFm
Q9kXBJsQuIB/m1VesBnkfO/H1V3mCaaKg0eWNxmObp8ndM3ig6P5KbRu6QZqNok7fVC2O+58I38v
7K4/t548GlY+s+3mfHPveR21UARZWeZ9BgaSc1FaDxB07XnNwHC60pl3MQ3HvddR25rXnhemAbjR
0mxwMhkJUGInK7qdLqDdrA2SSOC/g1xS0dXzZTc5Uhhl2LKDZSGJkJMUncMCImeSSr4wh5l7RVie
XZJdtPBFE5tBQi5nIdZdTwZjVYuRgzc1ylNE9CtmBuKZVehtQiJU4G1TE2gVrYfxuOIoCffVcJJC
HzozqImaW7RYYxN0kvqFXguVwJUtaWZEFPYXBpFY6lN7vwSwEHOIoEoL9PYVGn0+7JjC4YhlCKP8
B/gx8FMyNzeqrzpL5oDPhY3KRCvOg3UEg1GC5AhLh71o4Edb+k/h4UU9xrR9bMvJWlUkpuRWg1uL
d2Fh+O1nZfVxwbnepyzLrJBKYJYH7jvjg+mlHHhiAp1CrCQxOG1SrGXNioK1uDogoDCZs3pEpzUw
FSo+3Sqn2w6ACBfLY3+qemeLzhQ9MZLjCdFApi3qnnGt4Epsqe76MYSLqSiJhwG/PjTO7FZWaZHu
ZqKlPolQqlVu4qzk14eCFu8X2y8RddpKOKFJn0DfxGgZWbuLPfNIyYbOPxomXsku8DJ0SKuginLl
9CYQkMBLkEm7+D4oZyxTueQDuxq7s0m1wEtZx3iTp3BU7qoh5plX80kalvVOOiw+l3TBfRvKik12
Ho/NuataGqRif06PxUhK3odD6MYtW3DZPqbae4z1+OqXKWatspnefBfLAP0N+Z2dmrz2koiOtLLU
D8h61a7vW/8tshi3rWztzO+mmD8H2VHlIbryOTTUIiIiv1ItimamryR/Li5LTrEuAcVx6Itrja/I
3gdGyBWlN2Kpv8DXuaILtrlMKje3RjwyjY6GWlvM5yB/bq2yzIcr3trPPZN4byfjRj+khZfb95iG
6QDNSQttQOfJKyR/h6JppcV472I+mg+5Q3FZLygoe8g9M/4EcW26qyFha7zxlZM8KmY//TsIHK2Q
t+AQLhIyptWGBnUTlfMAyOf7iD3FX0nuZXPlRzKgoaeed2bYUu0wtv0tykZycQx4vr09jmff7u6m
DGt+GMv0zocRBIYJMooxCw+aXD6+taNb39WGIAXaM7F9bKlIvZtCVeS3fVBV30vbdQ+YIIdj2Bce
kdyO9LkME/POAPe28iwdXEhzEo+luML/HkF4YZ5KWRAJYJcuOmV3ZJhDbftffj431/XUDV9h3A+M
WIPKQwszGvAtnkGHlGXLON56HBPzLxyj1OukRixusp7tclWZ8qWAErFn8Gl5u4AtaH5t0gfFW2GK
t4vx67Fi/hCt22wof1gwIL56OohemReSR8YfEqABI+2sgJnhHUhGwEtkT+1zlLdGcQaQ7TzSgdEU
12U9+hkU+8rBNZ8YfboNROy/4uhl3pi2wbhP67CyTtLM6PM1VH+HKu0/iqrMr8sEyh0swtB7ypXp
vs8dK0gy/SY7FVP0KnsDuvRoRlTmTTk88gmou2958hCCgdyakWtSomHpY09mo//Nf7ZxO3KpvCPo
Yt75CtGdTOrkUAsYzO3TSH/rDSca/KRj1DYkTVGFqCswEvAOwFDLgbdkk9O9LZgPQMyc8i29xdWp
1WOH1822W/dOpX3+WrQRN12FQXepDulDewMamFqrAIcfdN6w0yHNK+gvBwzvrH+MjJhN965lTBdX
guG8M8QENpIZMNQeAwQk3igbpWhTAw2KNsOQRxlZo2zgDO+bGdKXCtzoOimRUNZ9OfR3JtT16OTU
syuuhzSdYUYHALCZRlf3eLgY5sypMXX3YZO49TPWHjRxF6hpjguGhKLYlhmPfBDj8RlM2t8ymk6J
RDTBYzgW8i5l5wInjMAKVoAmORjObB8AvYzISol1YD0rLvYMX8r3Wn9PbSKi0ARUcWOk7Xzdhg5D
pxIu6FWC16JZ11irmIe3vfoYfdwTEMcrtg+2uGknCnMTFWIIzrO1apNwqyURCsaweJnNrrkq0iR6
Slsm/ORhDWa1tYwe8XVTW8jupuQXrsDKTwxBrmFy+Rk6npMGB4Qxn5+11q7N6ID6zVuLbqYLdAmb
YpXYfnIGTeaO+dJAYbPMeC0XWkrG+ylxD8MP7afJ7BnIVNOEfS6Yuu5htNOhPpqcP0+xNUefLHO8
LEM1ALHrh9iODnkiGL5x/vhWm0VwNcGLuJ2d6rbxzHHfAkQntY3JTJWze011k78pO/eqmXGXlBZe
CImhe5WUIdXb7vyNBSN9iDwr/6zRfPdN1piYw2wjO5pahegcjtd8RlHJFoyBMLMyPBQ4mFig6jH2
ACMnKjW3orWdXWN7C/XMZiHYDyPb9rMba0olqgEq4jDSJ5Yxnlg3eqo+6nbCyWfgK9ZmwvivEpbb
7ACtU1oFji39pSr2ixPPT4oAI49SVJUejw5DC40g3qpTmRvp4x/OgP8iCPbnQ/zvByvSlhzhLel5
lvuT9tbPRVmFoTEcvVFBXGaalK6bqXG8XyhVfxYYl89Zfl8ToUpwIuT/8nX/oPKYgWFpQkndce7K
7lu6rPBSz5wIosnHozMaWfIj76GDMf0sLP8Xn24tV+uf+srvH++hbjqBj/Ytf/6ayRBlBl2C+ugo
UB6QyvWD5RdyR4vszE3a5nd+A1Q/o07zLZsqwF7sJnoRPM7sLpzfthmIx/my8Sgl+/55vB29qjpK
uwEkJkTE3D+dNRxEgwTppVWKV1XFgA4tG4sL2affVY7/McD31y/ESVggunBhfQvrw5+v50z/ChaQ
rj7OSUtmn14oOO3ozoPYdrIPWOOj3Ld/kVr+64faQgpyyz47U+mJn+5JRdum08Mk40Oj+Rotmb20
hpZH5MKbmm///s78sy64/GR8GFoYX5A/iajun79hFNhWiadEH4c5Mbausj7RX3eFGPUvvtVfHwGb
29KlTNpD5LDd5d//4dakXdCsmYuUx4TiBX1xzDpk4YRu0/1K5fsX1w+dk1PkInQK1/vpR4systUu
7nKgPeAV444tRdiNcXSN+mGTxbJsq93jk+Cct7A0LhkpEOfWN4E/L1s+Ynrs/moTp4pWXTgfxt/2
h+q3veK/v/h/uSZk07m1iBGbXBbX/vlvajiRVpWfHLM4Ft6x9jt9i9ecw9J//Dk2j73rkljmY5bk
/x+vvWzitomiLj6WIYeBjYKznGwi3BO/R8r/vyj4ONU//vG3b59FUm6SVqvkQ/9R44NpwHPzP4Mb
Vkn8Tf31P/id2OD7f7cFDwZ4OWYkxIT5df6PKGj/nRe5Z0kMEK6Nbs+d/k9RkOS+J4NFrJOWDHiu
/ykK8l9gyLIFYd9F5/5PREEiXtwc/3ypExsW4PNoZ3PcZUERP3MCSDfmLWXN9r4OTecxjZx5w3it
PI0eA6Ce4zGJlOItzkDsjJbvvyVIbdeMvzoOG/zD2eOIl+e4crKXNI7JHvezPJsE9MPjOGvSfa0F
DQKvjJQv1jyAbh7KXF6HWbxoVprmnCyYJE6jfn4Bb1F9YTfSL/HssTl3bF4l0gO3I/woXwWtMNZO
U2W7QfhwwlRv3Xft0Fw5bVmdkN5YOWhIOkb9tPB/LGNh8M6Wc1XjIrpK88Amwuk75SOS2CyOvEiM
K5HyQWvXSYGCxRLxL3aL8Indc4NVynCvZFD1701S44NKDT/jKO5NyTNTKPEU4qyn9cKO+LPtipkB
dZ2Mytj5W5/B8vitZFxUJ8bP0c7tZYY/OlWk/touuSb864GuqgLSYdircMNLW90ZdcWQiF3WdBfw
lttx2CvPpe9wBiFCQkwIK28B7RY58ItqCeM+pEaeMz92PDaFLqa02IDavWqNqbmJcd6BDwfBVO9C
0BxYX2M6D9t5mnD9uzBuJpqt0Ew4h9HLaNOH4FXXbJHcY2qaMNex4ti7Atr6wepcTEuj/RXrpfhZ
xrQCwURw1CE1Mk47IGw6erq14NeNO1zhq9mHnt7Cj4V1X3rbSYt613omtNlKeLvettXnpHPUJMJY
3b7jyPdRMy99YyIuTygj0RWyRHUn/cl6GugbPGf4zxiuT8Izdm4tUmM7UpdFxxdcKRoPUumeAE1P
B/obAiC48D8aN+ME7lZOcUIO9q5hfg0nV2skSrdGakyNYWtKen8Z2+WPRekiawgnHg6VRZ9UMhtd
DSXRFeT4XOD9gjrfSy0FVlAv8/XZVb597Tb0jglzgTqFISWOXTvDsisHLqmvJK0MphEA8I06TltZ
0I/X4dA+FGIO37H/ZCcjc5w3DxfZFUfv/BBZyuIyVWZwozBpiZXr4Rpc1T3aGe6OxWCWAWqMqcwA
L4TgsJjQ/Ha2jy16Ezhf2VrbZOrVPcaReedP6VYMiYGZrnmv6Z7ehLIidKN747lZ8hUqqE5i7Iyd
14UYOybnojPaZZhk7IqA3pJQOS9hjN2gs9od9IjFY+TFxF/8AaJ+80ExckNYQj002PKChFhdaGfb
PCCeVaPZ69kZLgWCi+fWpPEWEAPzV4qJZFfgf1zsf+ymsQIOlpWVpByI8SQMXqHbt/Meo4CnEceh
HivZrAdhs7N2ipiuUnxI1z4Eii2PYf+ExlWeDRFz9KHkdp87uuvutGSbtYp+8zbOwogHEimj/w6g
KwOB72uDAhUdxR+0zWAC4m0CX68Ssw5Oy9A03tsdF4d+oRx8Jt0D/CX5j1yxqn4zXY720Bk00mqF
lcL3sk801w5mVGrsfJm63BZ63JuF6+xF7whU8sY8mopqqX4Q2FUjutRXWDrDJ49Lu+507xPxc9EV
qGMkB0DnQgLbi6aNMtXdbuIMjv8yEQ9+quZ3HyId6RMieVcFSb2j7YXZLaiocCfSKvmqoQ1qfNsu
tR0Y6qbdAGd6m9gGXpbZ8njg7b57q0EjHppMDpStEsI9TGHCOazKIipuW886o+TLlZ0FyYHiUPVK
GBWXq5oodguHaFcw+tjmTtk/wDxQr0beZUxgOPFsrNTz9m3HWYvr396mRBpIp9ZO9z2itWbLTvww
R+4VROfpWpPTfVVW1MIsHw/dnBkPnEWzI/0esFAB7l1kK+YLebdi75elfduU13Wij8gi063QSbKx
PLt/YlLV71p64611OnrAOrPauBFtKeorm7vpMtQqv+aUnvYQHQPz5Az5WxgE+s0zsuy5SbrqzGXO
7opsdt41AdSMTkkxUuZGG94liknIx/2EkGhFc7tJO4gLuHipS6L7kQLUuZw3Q9gR7Q+6KxBaDmHd
3m2weM1XygAMgKWFn24esnyXz8X8EM7aUmtqlrMX/7/YO5Pl2JFsu/5KjTRDGnoHTLMIRB/BnsFm
AiMvSfSAA3C0X6+FW1l6WWWqJ2mggczeJM3S8vImGYxwHN9n77WpuQezNqpb9rwssXJgLKxYZrlu
3TT9qrO4O1C+yi+pgD9GSDDiXbb8v0WSWHcK/Mg2In6xNw3p/sKlPu3cMOLoY0k8ra0yLwnDGyNp
YRvc91nQb7DUz2GzG3jcy6beGoSXt1Q8DQ+x35JnJy9X7UDvZgcAr9EuJJW4TmAovIBfm5+V7Znn
2dI53w1Rm0dpUyKwLmPLOES69UWtcxboxpB9OliEM2IEqXweKfbCn8joQRC5bsR5lF56Mb12Qpfi
bIWxQ7KSZlPqnknR2010a8nWomIMiwps/sHP3gfOUxzNMYn4zRSV1b2wPVKIQ53MTxVwFloqqqI7
6pggr22d9c9janw1HXXauyRstZWIqMYRfht9i05F29KFGruaTPo8SOFiiATwN24gz5jXtBHDk+Co
+YDomXDomoTV4bPqLCZE6shnMaX5d26hJxEMZeMVJ6wMCmW8xalpugBKautWIUgRnyG5H2ke8HMK
wGaKKF79MPpc+lX5aHmnmh7ZTWHiVweTty9r41Gf+T2D0ByOYDpu0PlruDV033rdMIPol5P5mDV8
SPYwX50TaTn3safAYKW1nUlW2FcHL04ZOkjktp8yJcYw4XQ2JrM5YL90dnXKw3TFliEN8iTNg9Ix
h/sIPhbzns6jFffcVvJMeWaVkm+JdFdrrzSaO7IU43MmZw0zvO+ssrwk1NLm9G1VjvZEOexmtIl4
Nrrp3UOoKG7Iti16UJK+GNNkHvqm6DaAk+VX2aQZXYRtyfKnL/ejKP1X1yqm29Bwqy8MECTU23lI
V4PrTo/I8fW+S8lXSbPd25Een+MK403Wx7AbSsCiI/7THzFrxlqGzi2R2eRUaDzuSUcan1OJaEi3
lQeSdOyJFK8mEDKnvOD6zSSZjT9hqA/nmTKcBECB5t5MbsNBQgHBZ9E3JumN1sMmqKndUAzJnTsx
RxlR6G+FMmjcS4W8sKtij5mA/wMvzJKgHb9whLd3iaxvOs9SdKLKNpgMMqyeIvUs6Hs+1wrXOgL8
maEzCXD82njdTPp9Jcd6pWv2VlrZDmMOie/4E4n9Sxr+LU2p7baoFHt7O0rEQyUldaa11I1tXGsn
zsSio5syjZ+KmnOVrP4IFEkfOtxA5ODnk3DVsLUmpT14MCD1t0HOnjj2MEZ2sGt9fvdVbv8wZFWk
/0CLXnlI1btxUMa3cMgUHGe8l5TUeJn/1XeeYWxhHszvrd1TqZk7IrDnbr7orXbJjNR5YJicjqlP
A4Olt7RTNonPNLe0nHqorizhI6MNVwNNb095ZkT7olUg/hcdcFDpyXKke8OJoDZOHRVnNzL7ZlVE
VvIq+YqzWWjYn5kz55tGeVPGirMWbzmT9WOF9ezM5xXdwdBwNTb11N9nOA8HspTU1tmaQY2AdMvZ
3IBX1tl2U4xK5VuZP86Ga1JoPMjojeq14my1GZV7NB07Nxa5QzI3kDlYlaYFLJ3IrUh6Kcdd43oO
XUDRwLvWWd1E8yaadbbSWSjjF9AubCKkJBEQ67aGu5QRAzvlgXRSccN+010yDsXF7F1xD6vHthjA
yEivU/ozv7wpMT4j2XkXlw69N+rXugO7XpqFKAejGLqI4iym0gYBhM524HyIviM7t0oa9SacB++p
hVlMSIOt7GZE1cN2C7DArh1YOzQw071Gn4xGyomMW9jsOLU+4P4rAhIdAXPPjne5h/djTEimmhFR
N+enRjrZh2WlHUYINeuM6hZdxnvbSW5wlUD8c2UR5CxJH/Wh0egJgrcSOjmRJT201rmd7QDjHJgT
UPjtbl4P1basmA35To6uU/7o7JSCJNL2pjviZMsYuLkiw77IfdgzVfziN7i9aQx4UvEMpiGPnoGH
iBXXQRoTUwWBiJ6pavAuCEGAfui7thKqUrmMfLIPOWdOGsDFhSnqJzwb9OhdVfiBda5myMNmoDrh
BjN5LjIrsToIICGbYjD6FeuVGadfYQW0tLIyoCIjSPoSc4qPJWHIm22Rm4Gejx9s4oK2i/cKP0eA
B+B2pmzlbrCKimi7Pl/47JFws0Kf+hrfWA3D1LAR9U3rmJZt9BBKVg12SP9JVPfdBux4RxtU4gLz
lKW1nYs2YyjVJtKqZM9YFDpGuMZfOFnUpHRAnESumrNLyWJCfJzX14NbsstGjc2NZfd7WxPhtTPM
7rUl5Zau4xhE+SoFyHMa20nIYCb8dw9zt4g3biT9a24X4wdFXeGpdefBAfpCRGPInFcWs120UZrj
Y+qfueBQr26QpJIRVC7Xsua9HPVxxYNDfyGikz8qgitYghocwDsty9sjuSXFDEpahSOvly+2rR4t
Vp87XXlPSmXOiQOGhVUivf2Y1x+zTCxMFosVAKaW77Q+DeR6/21OXQxQgUjSTdRZeG/mEChCrEvy
t57nrkcT1taKFEP/zicrWbO6whBAzGcHmsTdjROPaodt3cGM/eiYzua4Vx4qwcqLDX9DVk6ejIgz
n1NIH66Rk+VvVQ6gIHFVVxKzIBDsMbgs7JsiH1dhSm/2b03pv9S3/436ZliOhzL27+W3/UczfZQI
43/vtFjwg39+zd8VOCH+cJD5Adc50Bb/qsAJ+w8bsNziwPTQ2uxFi/9TgbP0PzykNwBCvAORtsVf
FDjxh7twGYFEor4t/+UfDRx/rorgzf7bFYQjMAX+kwCHSOxbtFzwf9H/Fw7QzDAx2WTUaqa95t2y
rhjoKp/LAlx/mr5GvL/eyBnlB8g4fBD8OmRoHm1ro2d1v0cC83GiNbSX2/wdoOVS/1oxe7yaQylu
5lm3nxMnbC8DsJvDVFjpZ5VoFhWX0Xgo+efeLRz6Xwi48VCuDWV/ZcDmIebVnboBZmA+4T/jk5Lg
lqGyT3I19Nz8ySQUG3i+bh6X8f+urS2oDMgsgYrdgupSQjmuDNMrLqH22LDyvPKMSC/sP7cJYhC5
OLoryqLmo9XjqktTRUBR0ALjZMRArZQrBVnYcO1ETo0N1q0imiStcpe0SRXYY5YHFvCQjeWNxWOi
GrHqKZy76di4BOCN4EISOp0SVz8z38uLRQ/9ccx1e0veqb+xzd7e9iLLHnulq0uleGSnwi1vatNu
2XW2xka0df+Ql5z/vfKpHcpZcZKWvAm7JsetN7IyHTv/zWhsiy1x2fNcNylDMuvsNgfsCgqVyUE1
clrlnZo//MImDZGkICTYNwVmTAm0mkUO3kehb9i6SX5Z/rBRk8BQFDW57NSz4U1XY3RVfTS8TnHY
PvlhF37joZ6JMXuz7FewBFhTTzoVqwd8JUVLdUCsvxWwcskJMWghYc1ifE+nerC3WWgnd6XXh+fE
K8aTj7lm08gBe5Q9z14SVOD1Amw3k03y3oIhQDKtrlaym8uz13fFjzGNdHT1BklNHZjavmmr8mxR
xYAS49SPOXSPwK4Lfd0m9DuONOzMMSYHumatC2AlKOFaqV6AjWJH8/zuRfRpcmXkjYK21h5MN5Wn
tB/MH+rgHSoNoD3Cd63pmk6jCeiUmX7FsfdO51F4oVMCxN4owpOZW07QDXSFL9QTw1h8LjwvhZDO
hXhN+gDvx6DkvJ2OFMGJ2wKDeKVleDZKY8GVRP0Z5lL50bQdLn/THvZR4sXnZpLZwaEt04zGcF9h
tAElg7nxfvC96pZs8QTbxh2POIMg+lmN622yuddeReIkV3Dw2aHMhuG9YDv0MYRYAGJuWAExUe80
WHUbJD6cRde5T0ajfqCbpVj7Xd5/4H2pr85IWXlTddab7GXEtre3yJBboTDwdGKWsQnExAF/VN5E
LX577vd2dLLiinY60chbZ0y4hHhSvoS+QxQoLiBLmDUuO1CWkmw7VMSw16cUGYJ+sEgrjAhPZYFP
0nJ48OGS4/vV8W7icTSGq1sk4sh9eiI8plWXUChEYJWat3TUtBdZdsZGxTim2l40WKK4KQNdkdK9
ZHEETyLMuUTgfTO+PWI63x3MsQvp0LEJhqKeDSAk1F+Q76Ugllo1hEl61IbnpCGkvzNcT8/XjPOZ
CHyS8kEBjKFe4VnG3GAt81VX9s7FLAXZbUAfW1BSnIPsEHQnkJjxvHWZAl9VluiT7Sw070ahoNHH
iRn/jfUIIRRwglA+Mmex70w05hBGzBH3Vk0CbfvY0E51phe5emVdHBGcJFd1P2p9+dUi14xM35H5
bjcOzJUS5MvbWHkWXQpWRu5flKlAj8/NTrxNpa0g8WiW92xge7jBcjG81ro5l0dyO5a7wvk2HbRB
d8qdKjzLWHPR1z6jajSh0iNZv3bsJryNn3vNnb7cCSwCzRza4PY5GJHXcI9SLb6lUm/qyFzqy/hs
+tqbG48UAMFEJb7MlgRLGu71Qt9T7SubtaVr9c2Qp5D5xlFZ4yYyDdoZW21Im92EFsfGxnSqx8Tt
magGcn0aVs2m/dSb2U9XXee6MTFmx1SPMta1k2jmYtsVUjUb0cXI0ik1Bo96RFc4Gc2se4Oj4jpr
HLeUcAzdYCebrJ1ixDnNpWmwdUJidjlpx4h9c8+dNjOOqC7uwTAUCnhLMeQPOdjyhZrmdlehJJE2
tLmirrKxzh+STIQv3eC3l9y3f+pJaz6cxH+wx5G46Uz5JjeFvHK3HYiGY+d04/vk9Wx37K533+3f
4M1FUzvobiTCVSIAsUVGLx7CzJu9uwgAEtqRXRigDEQzbMHh8gM0IlY7cPrKXrlc8geuOUX6zFZj
PC2VOFcdmzsY8txuA6ZVApWD2wzfhLgofFiSl2usHPomjgfnomU9gVB22/ivyds6B03Dqoi27Xqv
ElXoifZ10iqFMMFDGiVvwCq2sWgjJ/ckHiPjuePqcckKB69FpulpsilxXr46ArgmNwOvONLGtsCS
aE5MiLP77bHK8/oF5Rr4aUJIUa5DQUHl2gL5364bXD7nrOQXp1k5rbqgWPgGYQLlX7VGEGU11ul8
U2o9nxgVGvkLvJjuxBlqfOiGml7Y1XmHvITSsgrFnHL2lpa9HvirEeiB1b5RIjDftz3XoVWc+cOO
LIT2BkBlPJkTa7aCqPG3QZsnmOzSv0YzBTG69PN728JrFwwjHa+xAlYDFzWkuQrP1DeHrrpNQ5tb
GxKEuva9PalgTqzqnY4HefDZ1OL3sKT16CSw0lacitpniUcJIKSrN4B7/FKzIVV5jAosNPIP0vmz
3Gl9nzYbnM4+MJ2kauoddjX9VRUN0gP5328R217xYgyhbq+aaRAPqZXG0VYMCBZNn84QN7Mqu/Nj
Az+xoruxXduRM5xCGv5WXprG94OKEStoVcVIi4GNitv8k98Vt5159OR1aBVPgV7xfLeN+SFrYggg
mVVRt8OaYVkRSRRSTSwRfbPW9KtMM6tbY0wW5z6eXaqWQiEiUG2N350FO6dpk1H1QP1Z7KhbnXUg
b09itEQuszh8Dd0RmqYPhZQbOK8qpnt57YjU3qsh8XGnJ/ze04YoBwau+TKP5A1XoPHbh87I5cNA
tQ0/M5T6rUvcgE98lBSHhL7Bc4p5pV7bPOF4ZziTwPrXGVujMjrgin0GxXDWFROtgQOwTZv01uW2
i6HcK82PmZzsVat9+scMtgQ3bjPyivh5VmMDGXmFpC2TvTFG3gftMdYvkml8WzBD1dWnupXXF2BP
AAUg+sXtkEr5vPOvCSmrXTwD/m01Zd5ks5Ve8skBB6E5+bxLgS7tedLKjDujwQqnSNlR7SrMqOeQ
5OVptBUJZJYsKg2SJG7fB6wmuJlxK/7k0i++wy61jk6oRZ/sACaqXdrZP6ND38QQsg7TnPOY/69L
4/9JcyF3OQt33H9yaQTM+++aC//84j9vj/4fOnUalmCRsBRv/EeoSzjcK7lOcmBbtvH3uNc/bo/W
Hya9S7g7XMHukHvk//RvcLG0sEjh3+DtKn7/p3+5Lv5n10fc1/9yfcRAYvgG1Z84RSy6MBZG/V+N
V/AMGOGVtyuJTwSJaKcaliomegqL6l+8Izmu9BjibO14O1ejtaiwQxWIIQ0PplubXzzGyz0PHQz2
uC06+vZ2Nh1v73mTiW01u5L1isrqXzU7fITzmkKpgZY3DeX4wVvAFlVX/nbHq+YLDO+0G+NWPLBx
SIYN+ov9KwQsCk/PduMtmYvt5HeXJLXzE5FcAP2Dqw71HB0QNG2mk1LfJtK/BVVd76Ufda8uJYtf
meZ2FhP0BHBWC7utVRq4wPM0H7+ixA7fQX52R2p3zMBxR7Wb2yreY3chuASSbteOdRdEZn7xp8S7
xTIxbCYzrfZVTKC+njpGrxqUVsL2/m6A+LPxUwzdJP/daRfmJZzsOUzkcw+Z5zshnnxRumYda697
mlvdx9XSeneWqG0DJhHZNtOtQs7ypGolHGAQWBugwjxYJnh9O2+axjWCY/ZKiFiHOzSqY5mZv4jp
95cwS5IzFAquccID502anOrnVoB+h8S9ijKRfMZEy14ggrBCSlr7HNHP/AmkHWjn2DraTz+56lIw
0rxWPJku/ML5OR0CVWFdriNHt2+otmhh2nl4Clj0cAXVvZ/RRt5mjgN9nbNJONbZ4iTm3GT1AZVg
BtDIzZJNCm94mxdKKx/twkxZaKJhxl6nv4Iv54Hq5jVWbpCIElV9uXa3e0zddTBQVbnzIlNwk1PO
qu+dHiQeWB+QAeHVY8QOHGrDn/A0K2BGPMUURWxvI3ewfWd61bq3RXGb5HkKxcJjm+9SBb1qTLiI
Imw3QyZg/TFTbQon/ma5GDK5ldK5MahxotHLo+ky1M9S6cV5qGb/C0NC9DyCHKGh0yquYBnyo0fF
4NNQgpJZjfCgufFCoBukbt6jbugl0qpmI5jbzdIJ1skvkPy3oNCpK+siue1IH9/M1lQAU3ZHzDc5
HFHX5F2bAKF4zsG918GIW3erFbxmfmrogdaU3fsMhu6keZ58YGamFgyhczsNoB+tkQ2wTXcuk+BO
0mNwzeRIW2LBUNxoGGSaaWknBLwHnKN8NrzJv6G7agawxO55o4cD11v6TaMbVenRnTUbNuqMtSzC
kGphvA6QWVoLrjNkXRC8E+ligZH/l8cC0Uda1eq95jT2tiHLCHg7AyVS/WqN8ehlYbrW9CGANqRt
m2q4FL0l9x67j7Wvu08spADoluZBsqQkzBS7WvCXs/pPFe1vf2n+EYtr7p9VM6wC1MPiNMXowQn8
L8fepCnUtCwCou1E7J+KlSgy61HzxndyEenvGkVAU1F9Fk0nojWpVwJp/Sh5SRoJp1mLnMbYOHNM
1TbMW9Ik5kJUTPP+m3FpgU6M00HUA32L+aG25npcm13z7rVqW9GkviO7ejRz01tnWfKrrsdqzQtc
3NGJ0RxQDeuAYAkJNIO4vUmrNBXOWV9vsiazDmXfWC6AfF1tWL2b63AAdtS7fbJz/LG4o7/Rfyds
UL5Pvd4vxNby0yR5eONEuLryqIm38WAUu0oN4pXgS3hwCyu8m4qkf+BfxbaZuwQwqRUfxx4iO1YH
bzMXwIuHTs67yh1YoHnDdIhg8JMlslW4jZQZPU4Y4/vVMOOn4tselo7QeJvROrIjheBuM540m9wi
WclBjN+hacPmqqj7DSLLl1fmXCoUmfN/XGBZQaKy7ES5fEsTo5OeuLlE7rprTeeqKce89WdPe7Ta
wdyzUY04YD29+qYMdLxC1HavjqjKuzismzsvc/qjPhfG3jLs+BzWegPQ0qY/0AtUH3uBqBq1rr12
VNDwDFSiYRjux6HIbvqhxKQY50DlYxtpMp9gIaOENY+dSfiEmzfTXmWYnzarmKeKkjp/HebPsUoH
8gmzQ0EboPHiHa75cJmxIp7nRsU7PW7HU0ns5lx4uOaYHpOzcCauaw3IuG1DL0cI7tOL13rTy7OQ
Q3jLZVreuyi7bFSNaILjy47LwZWxaRoymNAasrtuiKuLi2cyiKmpWLad8ji6wr+HK24e8jrkmS0O
JNawDZa3k0mEjcm6HnJgkdF0GVsXHJcnyMJwVq4hq9+1ywc3cvkIh8uH2YqMmEZvTfvxlo95v3zg
84YQxtCYK5u1H7Ga3NnNv0+H7vdJYS+HRrccH81ykHhNbNITl5jzRqkY0K25HDp4h8rncTmIGtMe
j+VQcfBIs55ey7D3tuYwcawZVf3QQ30/zbrRvTsoPEFFUo8bamNiMlxOx3Q5KMVyZBq5gf0sWw7S
Gr+3theoJMla/T6HdV+iE/vapBDQjFo8TXrl3NL1YofBuBzuCEcgN73KyJxdS1PqUesltrrlYdE1
6RxgkuAxUsrI+xxk6nBe8p62OKwTeaLXHoiJVCBmK1CmuzAGVx40v59rxML5xU4aWUFSdf3WYCHe
rOaWX5H4/eiclqcoXZ9YWHmuer+fsFis0nXZCQciJw9fnRkq9ON67RaLCSXMPQ+AezeeitygKsLX
xkMIeYJahqLAoiPjgCLZ9JB2nakodYztwOh9e12OFSQurjtQFcFeHSxVEYonjP0SV659Q0jde4B8
GBarhtoZ0GON/13P0rwbEbZ+9Tng8KSdkmcA0eoRgtjYBpHeiQOWODA9YaNBwEOz4MblD5jykti6
cTWLtgcNjiODDX6PgSzMEj00nbuCiCvUPFncqK4nwygH0Xyyjn3VEQGX+oFF3bF0Z1uEnrHzuEo+
iYgfHG+GeWg0GSGL4Q4ktI6Ys5ItkSUrs7U7Z66sg3BH+7FIK/eO1JWzTgT7Py5f1ZMElA62T2/y
g6UlqQqKhEgKpVYefQ+GhGPjj2l7ceGnb9x+8EHTJvrn6M/dL6sqJa8xxjccN3zQtsNA2G3lIvnQ
MMrC/2VCxt2Rs+VTTF4lOWKRQHRpPI3Kw37YF+k4HlOBCrUkoQga1G6EzVPT34zRu5vJvTxhPWRv
Xmn5jtBVcoSF3VIpCsHnPp7M7D213BCKMxZvUFCF+owQVN5lp9qNLmzQMlUW7vgjnzoBts1iQdio
onRPpvR582tC0YcLPfheAyCCow94PQFpRqHVMLn2XcKPQe0FvmYX/1AFNh64wLduagiAwPC5klKx
qgXYaNkNJxQML0mL16rN7GM/td3FsdAAIgNJFdo2W1MKOw7CjDN+gJIic4+pdcOOwiVx5h5hIv1g
0/qcxooo71hQ/eaHVXkQjePxacdNsSrTOnpA/p52nDxMl2GmX6mcxVBUFVfDluarXRs0yXS5fBkc
J32BcNZ8Yw7H7Enqb9+r+R2j5tVyc+ohUuhKB8euLqY73KbIuEy+sO26cXQ3mcezgo8V5uGN3oMZ
RkStXB0Hhi0PHh03az3MnCPClrWflUw3RuNMb4nG+1SncuM0DlpHbMQNf+EmsncRbQXDGgors+1c
UnwwjDgWxtj+6ro4pLK71rYuFqszKMjkhEWL3o2u1KoHV+vNp5ghflwn1ai+e+Du6drKWu9c1iWn
DbUz6SNVVajzM8mpVVpkxVaktkT3Z5/hp5JUuxY6tCfSfuHyt/bJR570NiKabI4mpiM+Py0/e58v
LG+PDggDuKbHDzphe6JpxmYmv83cNt6XeE83A9WdmPznkduDxQ6dYpjD6PvmLnH4/wOqFq8FNegJ
vpHJvxR+OWG0tqqtZXTiPa4TY2f2uN1CTwM3X1DeCBZu0oE9lST/V7JqD2nevrGiusxC/1ku8Zve
CI0P1WvilrUlj0f51GaCLhUzVu2DGcFB2w0J3OeUxcrKir1roUomy45nOyAcA7pYM+xo9WpXoHnH
nd65CCvs8a4qGkHWh8CM8Gr2DUdSr4LINuW9FGGBEZS9rRbkkAqeuKPPTy4pR7nOdK9bE6w7Y8ph
eYZlP78D/GteMGHhowsj98IexbzvhkS5gQ0evNz5wtceiU5Yd5ZRDj929hm2M8QgObqLITR2b8nN
2vsmyRiLtPJSIHHZeu0GTZuHAkdTunOTruYUoXXBGVstKJyvCY9AugVIxkIA43e5HnxhBJLFnBrQ
UhkIT8oEqaB3r172Xs0PUxyhcSNr1aWZ/qROdJNlRYmvQ+r3wgnrN95fPLzYrtwOJCdOeVzKVzBj
iOJUMWrOWuM5u6M/joJrpwV8V/jWW6hnzovLNmWt9NY+tGjFR54E8dnNQyrU43QBg+WgD7WWoSKN
DqpJ0dhEIkjvd/E960z3YdLD6d1BG11pXlQcmtkGupJC/xUltIc9lUHwUqQS4yvaF8bBsjKsJfYZ
7yPbKQ55MlECgMbJFtUfH80ulDsIuvNuwna4JR2Y7u2FSAxpYQ7o/J02fWKMe2ZIHUtMRUMT4XY9
vHPyUh7suhu3ESV4m8w04ucmYfLrsWhhdO9qzEaNv4/yHJZ7lUAFTkKC+HwPuEYiLD49Fq3Xup+W
NeIY0eaQFA8RSWZo7xRabfvlgesBG9gZRvZM2bM8Emvtdpi8GMio8t52AlRpgAHhCW9/u5k7WWHn
IaWwYkMhF3OJMNcq1wYoN23GJzCjq4dPf0N/j9vxyeJbqeCDF3xFrwqo4yGETjigNL+x8f0lo9La
xxknRGgVbdAq8toQI+hXM5F6VVk2K8PLUjrJ8AYGgCmGdZQ5wdRl7EiNMLyUiPc0Z386qBNptrD0
+Yo4PDUFGxczw4rcgRtl9YSFGVLQJnfm6YjMVQaMDw9cTtemD6k0M2G4rVwtLC4xBrh1MfQi4LI8
b5LRgSBtJoILqpflp9hzBC9BaByGpjJA3vSQKc22/IlDzOjuQDLOsyZtXWuhIVdWyKq4BI72ZeZV
9kaPVJMTyTTDB1vrfWIwbn7HXQXQckICFpcY8grLTeuaajZN0FEi3wrXKtamzKsTKYmU+58EC8n+
Ya9bSb6z+6Y+l1bZ7lvgrHIs15SJinxFseLMZjA1dnzCrGfFde1OaTgXS9aZm6RAAIjxABg6fmSV
ZqfKdI5ju588Xs+u9N+wSqzZnnkPlA34qMQivRIztw91ludnyn/IivMRPIRDehfRPtX9v5F4/z+C
cBHs9Imp/Xvx9vhRFN3f/ttHIf/7304fbVwk/xS/+/Pr/9Rv3T9oB7Zs5gADJCMS6T/yd8L6Q7gW
rERhI6IS//2L+8f+Y/kaW+c5AVIOuPB/6LfmH6YgfIrua5OtdflP/xf67W8f0V+EDFpVbLYMOrHN
f9ZtS7OLjA7FcVeErJs08O2kt3R7JkCV9DfSzkBC+yGMhZWhDTHwldbONqxq69M09uEBQkS9Bbbs
3LjlGAcgn0WQx924z1kFbTQVsqmWWmQQ83IocmOgYo0bEoCrKzUdCpITq5wdyMu4TAWCy9ymrfV4
zxqpvjU6M3uJqIfDFVNhkFvmiqHLs5Mf+f6hnAce1sv8UZRxc0R2sFdI1MkH4C+CTHBBkiD8Pb60
yyTjLTNNtkw3/dTjS/498gzL9FP9HoQEMenz3EV4E3AdqO/o99CEhGU+qWWSUlMN27SuewhdtJif
pTlq29Crwt3EGAZ7EtyXR18IBBI8ttXC112HJuzxapniciejCGmZ7Oq0l8HYlvMbG1Zq9GZl7Y1l
FsxEPD11GQ6yUxu1WFT9v0+PXaEvy6XCuZSNTWOAmRN0g+hwcrABftqYPZAHpBZ4oMTW6e9ZdZla
q7TMXtAD5EuU+N1eX6Zbwegs1rpDrDJZpuB5yUhRUJs0vzrQLEerw3m8Y1zMdLgZuGMHrWdbbVIY
+KRphRgvsy1Q1ucu939Q7wDZYNJanu1ac3KxVH5oMskcTrLeX2uFUptEz/WAvgn+lkTG8Fg6q1Eb
vBUavGbLpB7SNYI5d2kXWf4kaWtc1FHSmQ9olsVPPfBbCMzGkldSkhz3ng/U5RkRDaRt0YMJB9FN
no8uh4LFo5150e2CBT34RR3fOSYjmCGbBYsuqwF2k9ZUGBW6eLoLwbqtWnQ28jI1F9KGb/GDtlUs
JI6GCaycapqohKZG5g6sqyEuKRMOYtEcYspYtkVshD+TdPmeWmxO+EaM2EeD5a0Sb8KhNh+E24Yf
BBKpHGfVxj8ogkH/SrD9xv7kM7DWRnkOE9UGOuLRveOhZSUIPRQvSCPZ0ueVrk18IQ+JnUc/lp6Z
95nSbLGgj2fSTAyg/ioXXn5y3aa2jsjp3jclpfaw9kFehc8tO8SRh28Zqa1i78HMbjvuuXZdRasq
7+Jmz82U8Tkz66tpxdbWLuHVuBafj5gKRzDM7fBlF7glNhql2h14VY8FQuaEjAkqte29n3hYyCqW
T0t52mx9CoOAFW8eFfP0LuPh0vpQ1oLWS7TvXjPmRyz7/rxOskhzcQ8kUISgDkdBQ0vy3mxzbsJE
1dh62PidgM4YzvgZdm5brWVnsM+sbDd8bBBw2Cf7PjmfFnLVBt1zuljEAH/CNh9uXcean4Dp58NO
9ZMetLxi/q7wPBqh9No0EMNBvBBCqTocbh4NzyZ+WVxUXDYn7u6a1fKMZe+qsY2p6ajdCC68tx5K
w7mz3OK+rIRdrvPKi969emgfejMa4A8nLAq2pIP8XwRtyl8qrNVrFNHMDM4LrPyzP6T6A2oqOdpi
mod1idxW4uvG3lL546oMa2jx7f8g77x6JDfSLv2HlgJd0NwssMn0mZXlukz3DVHVVU1vgj746/dh
qSW1euaTRnux2A8LDAZjVC4zGfGac57TgkfSK4fIkmKW7qmrG+thLszpJMeEA3cyOprwHo7CGWD+
CMU4DKGWdVXdGbscGNeF6Zd3rxpDnvsxB0KT1V7DPzs0S8Ag1XWQxr3xUFjN+GUqopGcRV2Jm8gl
wHOVDKN7W0yWS8zY7EBEnsfz0Gg2YsPYZTyXGuERrAgSFj0a0S8kyZaYROuAkzFCNWl03dbV0vxO
kPtBSmrIOznXcfPOgCEhDscd5hcNTRGLFZSJJnbiSpB6NE1nHExREKkQUQ9b+zPG3eGz2Ubpljk6
sgHOv93gF9VyOngxMVchJCnc5CU7Iqu+zJ6DJnr2pfluAepnkc2Di5yHUarukakoe6/9Gs4ewKe5
NLfDKLXj7M39e8FUaFsZ7XDfkJ1G3octwOswFjqCfM5ezITVCtWqGV1HGL+YZ+ZNspUC4k7UOBYZ
vSB6VwRL9Cd3NIzTULCO8DW9R1afJjtlV4C+Nb7mkBhRdiamZbpJIfPvSGBMj63jSV7NTj6EY9kE
BCiYQVSqcJ9NVXs3ioYtjRe6n9rUX8LkRmYFBbmjQO+Tk4dTiL1hiedWIyVpxs2NNcxxzz4n8uv/
3e39oi3/HcPKWvm71nyhmv7pv2w+Vuq3RMGou/cWhuNvFc3yT/6n/+d3+fXfqbl1AifBF/xVefe/
mr78r5fzv3+DX+s73/2F78e2H4yBi+LY+b2+8+1fWBGxFwdvIIDkL/yN3/gK3i8mWAKsMgZf4Voe
1ddvfAXnF8g2UIo9izrPAuj/j+q7n6CrS+npA12F+0qlSb8Dw/VP+3l6y1olZjwcYCdGKTbXNrt2
W9F3RHb0HaAuspXSPQFENXE+9WLWSUiekigYiZTXPJuYMwML3xyXAq6CnlHpDFPCv7eED39mXegz
svS4VTZaAUNmJjJgW4rG1DfNqFvRpRKiWCBbqv6MnHuRRhoJreJcGhHBxhGm643JX/DYjpG9NToa
P8JSho2uRrNZaAmv9UzK5SaUNqMqjZEFzkEz8mjYR3+89UlKT/ZT1QxzYGLZNvdyQjaIknKwsMCW
A5txEyrfysaAzlOMKI2YBMtGPDQRzoSE3bVhweF+pguUbbKyvEL/Fid6NW9Am/nd2rY1+45MOjvf
+Zhmn6WNmhKPaqi+Wo7W3RDiERIeSLJB4KU13ZXV2MNLnLbTAVhNAV+hdpLP4A9abCtos/Ab6ToL
ImdRn5ofqkIytkob/56XliauZ8RbnzoKomdjJP9mhVMMQ7WpV8ne9NyeKd7ckAltq7QQm7qF+WVS
IV+RrqOdrAKjjZztZL5YSdEb9ybTPMR7tpLRlsRgy38aulIeFMgWA6e8Tus4ox+VOzUZpD+tgPxz
Zsm2FfDEltcl28jZAkeb5m6MmwsAwpJo0DCHY7b+bLYY7lvFuhcZ8qHvyAzrGCoSjtjZJ0AxTD0y
D4OlMU2wEAoC4oxrCuxoWEbIDHVGEIHAsHEF9zASu0T/xn5MAXBjLTm2JrcelH4CYfAcNNIwt2Hf
AolT4UyuKVZyZMiC7andbYGLKeJ4EcGisnJGe235vXs/+NNhrDWjDlwt9I/4xEHGpuF9m3rRxcqH
J5PTOsic8tzw+SCVTLwZRbEsSA/jFJU7jfJyJ1rfDLC7Jhtr7sqryLQIkeVjc1dYtXZwpiHjIkNe
n0vI+wXKzJVf1cfekWSOIeFzwGeg38D5Z+jtlWfDbCSgQp7zeHR5V+34zR7afAcWpHhKsH9fBisD
trikpEV+peD7xURFwle4zrza3RCyWN25jV1dmnJCu5eJeTPTO6SrKdbJ3c6n+6yr5Up1WXTA5ckV
6LrNsXZiih+/Yok3kdQLr/e1MlLrXrKlAqkZDQFKvHDrhPhqbfgRK4O962og+jIxuv5KwnNlpB/r
cpMq0X/K4/pmqJvdgNpuXNHhwbdD53gdxgg2Gdt0TSASay0KOiJh7gbZcMUPd7Zu5CsIGvdord/7
PrnJRoNUudCA2tB1HUrpliiqjqcs8piDx4vcTk5Z+cwhW3MYWZ/sgc+/KkDukuybG/HOYAJCxs2s
vzMc5JNeLWNIl4RgdD1EVqFDarDaumV36ouYKOdR452vGdNo+O018jQWdQkr5SgUDYOtXKO17Nzt
rKoW0z6ONYKdSLwyK1Thros8RYn5GXohQZZpOANRtOXOgp135TGMwseijfcZYmWnC9NjLgoXQUI+
sINEhePZE5NBaypvG3ICNyTBRBhBi/kyd9A516rA3EB3QQE6aEO/dlLT0gNiRSMGjyhdV3poqkcW
TdUixR8vVMH1xsncbOPHYgmobb7V0rLWoFAki9vQ2sbG6G86w0YMnw3FDYl8zirqWsg1rNFfq7os
t4Q3avzxoyiZbenA0QamVXwSOAk7hLYboaT3NFIGgTcexmT1w7X6b2QUxgKM+wH+4yEbQ1mIqG0Z
cRA3/tMQQktJ2hlV5R4Y7ZvUxV2EO9XCbANOgXZGDBMqRTRu6Cl7q95mih3hiNpgCv7mF/lZxsZv
4joLg8h3FhSR5f2EtoPEJacCT8BBEZeSDm33GpMROd/Wg+231x5OdIdUpcy1NkAUxrtBVQ0sWS/t
jI0aiFFlw/84TqbggMXxDqKCCAaDnYIo5IsjZtde260mnmRn5je+H5ZXM/moz57UZj7Py0nOGNN4
dcuJyC/Ti+UTz422nbrOujeHUfvaxMiTsx4msKtbvUuibpQ8dwlK/0wb7CtfT/g0eYP+5AEc3sTQ
G29l5aQe4bq2j85Dz042Fom1pSrrzOUYXY8VDnvQwt0dVlh10qbJuurzyKR9IzqYLvPZtCr9FmXG
kRIXzPJy27nLvQe8gytwmDoM45qWmfGGuxrL9cd9GX3cna4w9W/1x41q2tJ9cz3Hu2FHTy53NBtP
DkHokuGqLjk3p4nBCCwncx1FXoK6K58e/NiKCQHJEQIGRsPiNPC92ko2UynHMUiGTH0VJDttPH3w
rlOqehr+roIsP8GJ6lrJWslyeTiWY8h5SUitw9nlewctNB9ozPpDDZOa/RYvfDYr0odTOLQrLSmj
L0za8YZ5Uww/VfbiysmZOXhRNrOMn7p4A6CluCc03F+lDKa+WgUgBC92B2ysyKWbmobFlA2X23KV
gnOytFeAnz0hqykLmTQunVfI1tbFJL7oohjkf2bwJVXAIWCWq9oHv3nviDb7DEGlfhHurPdMJTBG
PIFk4EUCFi0u3TyN8W60HYooKrD6GUusU75pxJImm1j00TdMSJW8+evHBEr+zw8so0KCPkzBUNqG
WfgTUq4vSRW04qk/JEIYV7U2RedqRGDXNvhNy0L3DtJrCiZgfRWi2aquSXUPz/G0LH01Z5yOThdJ
juEZz5WHjG+JmMjGu8aXVbm2uWCfm2JgNxYllry3R4kt20wJcFaIOR13uiZ56HrMx3YhcxjD2QAt
2FGJTuHXUoPU4CS1c2BJkt2SazBRCzrpER3sfW3F16UZ3gA7Ns5RGLFAtEh21KN7nnHroiMclwmX
naPZSJ5cMm1pR8Xco8iSnrOPEymYtjmdMVIs6vuhdvMbB4T9jVUZsLormK2fDBx8gLZT0OJTDxm3
siq0bcQNtRcOF3njAeLatnDGujXZhNoIawhV4kZMOaFdUgcl2xsIPYICxcCb27fQ8DOvv+5z0d2Y
ZGQ9zmQ8rSsLjowt5hyayUTcm5G74eeYcvTzJBRevLGoyGTrEMMkBStWVuG2S7GbdtvUVYA+PMEj
Z+Nf5u9rGHwsotA3FIF+FOS9Hu76ygHeN7U+4r7YbIoSVRPp6ngSwttwYHtTGHa469yIPW1YancT
A08A2ngo8cwNxzwl6g1GunHhTpr5VHrjJSce5JSh1IWawSKKb9cFhuaVd1BViHmvwEM96CrkCYgs
D45nF8ulBYi3Tt+HAfGrw1a5svuMFSz5pMWt+SixUO9DfdbJtxkkR9M0prdz2zFOKmzrBLMxDGyM
3ZuKInUzRrF748ZG+lCCguAUjRlfMFEM7WNi6YgdCmhNZzIa9B0WUGZrYCOsc11U94Qr1NshR1jr
fNxEMwzRW0drCCedp7wImkYnJzq1ys5jnhOiHKqX7sP4aEQM0MpzEH40KPrSqzSUA3MQ1UsLw7iK
dgbPa0r8bmm+Gh/tjk/jY360QC3EPoxUo/uYf7RIJdoJEmWTkWlnwumNgNbJ6s8Md/JkTxqIEV3m
ujbghnKPvdn9ODUbC14ekLylTUurgc6kbib+vbQ6y7lKxr45NES6bMZRGAdpyk6uBwkxEhDADDW6
89Ms3aeegyRGzb0Ua/aZ1cnqrTCB3LQUA9NSF2TCeJZeLYimiD4BbHomZ5sHxExpKQjekOE8H6bB
d7e1gfOU37rdClr00xTTW7RaJfZ1ptqXvz6o/owdpel1IR1aHFK27liGZdOT/yhK1ynpMkQp7oFg
6UvkX8usOdfD7ccP+UeG+P8sgOZTVfCvnzNq/l+cjjgc6z+81P+SP3N6b15y3oz3j4nNh9X91y/5
vuxyf7F8TM4YAqA0UZdhNv8VNonVnQEJk1ZcB8ssxOUt+z4MMcxfXN3DwGAzCHFhTf4xDGFMYgvd
WKzufK8FVflPhiGm81O9absQSgFd6mQ0Yby3nEXV+4NZwe+B7mUZ7QbL3o0TVtBsOPAwLqLX6c9l
mgPG0nuTUfhc7fUC1DALqYwkq8Kv2TZr3ZM9MqVelagTnp0aXWqg62V1yBeCEDm/meciee7KLXIq
71qPO8c7DI4zJudGyOqrPYv+1JYIao697vRN0FdJP2wjEhWTgEgBJ4NlAalq1SY1GQgpn+51XOTR
G1pyUbDk9hxr7VlpM6663OKYVAONNUTtzOUETTlLsBRPZzHr4WluZdMjKtedJzmP5lPoQqdvY228
rhAexathhkzllHp0HAzPAZiUxfDvPHxIR9MAbNOWYwnaUdPRZQ4knw5Hk4UKodLs5bSjo2LzXi9H
QmQyHvocGwOhf8xzDCyZo9BdbvOM7ITr2MXWvBExxOglqhT5VItklFH9ALPibDp21+JyY9UewJ7E
G4nqYwKf7kaNHiRpQSwfQKSz2Wt0THqimnNFArjAOgH6O3DgnpK0O6bqfpzRKCM6M4nn6Lopp5lM
OhTBI0NZ5PoMMr5m6DrqgzL6vFqrNuMH2OirnvWkTa8z5gN73hn7k+6lAzi6UF1CarwbE8YhIzE/
baZN2+rVg2lZTFzntJjCnRPBjOFU1SNsZM0EYyBzbzOpO1/1yaNa7Z1e4Hch2YbhDjOrYjWmTr7p
RWs+yT7pn7xI2Eis8WV6gafjkl6uLXlKix6DQ1xInG2eRPzFiB+6t035qRZy24TngZ+wFp0+FJu+
t6w7vJPVXkQyuW0LmxZxgHf41dBjNJIyNpUbkMw9XpCXx2xRrXwdsfIj0DZm2xPOAuE8l/vESxDO
/sEetFStpUjMcI0afAm+NZwv0mVXuCoYhWbBSEb4hIbUru3tiJBZ7NWkwclWPaqWNeHb87DuB0zH
EmsOEcCW0x5bCudsbdcAyVZcGExu9LrpvznGPNlrvgXxyonOhCrAC0nhxN3Vb0HCemwCrDK8LYYJ
4VatsnGbTfxhqzH2MXuD2aoZ+ZgAZxhSZG99Aqnr4BWaHpSh6Ju1k5Peh8PGjj0wLlZXcKsn3rp1
e8QqqyEvTM1ctXaTPtazf8ldQr3hUoywHyFu1iedDRIfR2efKyxLe73V08fSHPWdXap54yb2fI78
Nj+peDC3cjJDyY5rdMcrBQnWuDWapHpsRnSEIMD2huAaDnwL4d/RJjL1PorTDRFwkHQIiGlnVOV8
UiQQrCu6+AQDLml4Iz/AiolICbWkfrUwfZ/NARVugKEZ6pxGqot6pM/GNigVSyYwAWpysu0AaZoe
FdMnktgizZLXUJPx3UgN/5rlo0RxyAYiPowIwObrJMsNRQ+V+j3R2DXy6NGLJizkyPct7+D40LWu
rahX85VG5s9jpzqXHGmLvm3bA2CDmiZis8dE2SmO+VXYxp62OIZQeCIaeCG34QRCNGUznK2JSJAr
nScpqEWPVEsI/trV/xC1r/S+7vEpFFNNYvrQ7YwaXsA/v7f//Y3847rif/5nV/t/I1kL2ZJLP/df
y1pu+rf+a/zeNOrHC/77l/16wXuoT5alBss3gUbjY6fx/YLHjYgghffq+w3/x7bDQAJjm+wh2No6
vmcu5dj3bYcB5sb0DOETfWkiQvH/kZrlZ5SN47CCAd3kMlrW+Y8/jZP++PxonvgcosltPaCtoMld
PIOwamEFI9Dz3TMYq68/vFL/ZpT1sw3y5x/9U2VhEuycZfrStNnIU6O4hUScgp/KwtdREnP21z/N
XP6SHwZnNjBvF4shNa7OaofNzp8LmTQcUqfjCNoOZGOxsgy7wEcWsp48M9uqFvEl+VY73mm5yfMe
aIM7cAXUMCkGp39eIs1X9hw9ovq94UG+ImAssOg0V50ePskF8ZNJ/MxJlZ4MBGubv/7tjX/z61PS
YUAgBlCAqLeXN/KHOoy+snUdug3S4bpq7zJART/eadxVGOVRD83E3tUKFS7j0huqtuTehrBoTlJf
D9jrVnovn7PZiYLU08kvL8+xZe/MKnuNXCLb0WsdOokaZxr5Z82Cs6lclsHRiAO1guoReEoeImnq
nzQSyYk5yRsIK/laDdHKnW9VpbMqTzaDiO9ske4jNb62yFuyMd4MfbGeQvBrUZLdoqu5q3N1b8s3
tWh0kLd/YTc272AwqDVMAPeqguOLHQyWC5ktC92LIUHbLu4bjz9mQmFpN4a1w8oVfXIy/bbUcobM
Pj/ZkkN+RgyhXtKiw+aNKRRra9ecTGynK1uWuos3z2/WttEnpFW5kBk51ve6m8H7dnGN4230jzaS
obPnkSdt+2l7Mw6hzTa5LY8da/8vlm66rJ4TBjWiRU7o18xGSsf5MmWhvxFjbL7WYh7ecQboFIqn
0YzHy6jPGG51r223YMaqrXDM+ViSD8WVOVMJlcaW0MX6LUnStySqnAPIGkKqTDmSvLxkRtVgElR8
DIGYsdQ/Stt/iAbHBFciA9GqZm+A5wnqlE5zLEJ4oUUrr5hGwdyuPrmAf/8mh2PB6f/pcfLwvtg8
wsTX0mS45tJP/vB5JOzNkHWnSKPMc+btCc6PMqhlF2dB6UU1cwFhfQJXMp3nuNe+xBDv5Kr2GE/B
La6AQVsPkwn8Zgipxvvee59KT91bmZ7v4IkshD4i02Mgjk+INfsrdwr1bx/P1D9qRv//vNSgNPxw
/PxLx3rTl+nL658vtI8v+V2eicSSiwtnu2c4dFS/d6wWHSs3En0sEklMgxzpv9nrzV+EYbiu73p0
k87ycflte+9zC4Jl4wtZKKAL+Efbe5Jbf/pgcp869MuL959pBlXcnz+YURSRo1ea5a7vBxbIRta/
lImDd9nDcsm2qj2NUlfrXLOrE8vumL1YGR2aCTsGfSQIHxJTHr1SiTe/wUNMJBC0dUOn4B7T6aRl
ZbyZ2U2vGiHCI8RVkCjT/OL09k2F78zqTbVypuIEA2YJEaW7dauwh12UXPCFN8EwJ49mZb+Fdg8y
A2tN1tZyZ2Imm1cI16atrLl7lYnELUld4yEXCYo4uNL50Zrt8orRz3xdGm7xtc84dBFSOq+LWmHP
zxuvKQe1rWlrEc+aY0ePpj6gpdeGOrBpNNaNH2ZfyCOgmZn5qWFhRfD48Ru8DTrx1wQ1RE920Y4H
rawsJk/IUGVZ3KJUrF4yFXfH1FAF0nBvuu4xQCPYFJO1atvKmBZYUX8Ts5rYa6yHT1U09neqaAVN
T4kFEY+mSYZWsYqaabpPUnQObWyPKzMcqh2CyRsTOPkD5LboXeZJ85ywkr4tdDrRCgYfaCxpBUzH
601Bit79ANAVSZV6BNYkb2Kc6BwdUhyYofcnolgTwCle+TiGk75LgEHgN4IZzEcjaGgOXyjlkwtg
MmzpuGQMf1WN7nDPaV9c3Dp+D+0Q1miSUQ2xlH52EhUi6Ff1V2dGyZgqb8bhMz3FZr3PYnHsEd9u
ktowbgfkoJvES7ObFEvws+1M9dlQNYv9olkUUHP+Zmc69oKsAYPSprG4qNLSLuVcL1e07YuvlPdy
B4yvOLRTDNA0bsYjxr4Q3lMp95zkRdCRU3RAPmleSeW+h83JMJ9x/uqbZSx032okWOSibdfwNF0U
pkRPbuZIYZAogJECNWBhfwMLN7v48UzujjarB3POjWsgQCyd7Uo+0VipS65A+0b6oJ8VepB1JAvI
U+4wrqHE0Gihf8VzxEy0WsVV3e71mOQ7PE8dExDnG5AosF09A2XmpP7W6ZBXxpU5HTpumYvjuw8R
sOi1nwmUCKATttxh7iefzdwWQ2f+4sQawLIWJjWOOC1kTBEZm7RhAixJw9jOpaYFk+qrQFO6XDsY
XslYTSgjcadcFU6lgKf17i5P9eJQgJArp2ZXWCxPXCh8V6EX2muReoHoHBDPU72bEVjUBbDkNAzU
oNgKmBVQdLUzbCJmUUl47FP17BYTEYFqGv7+DNSaTZIhbjL2nwTwlScAXt7nDGkj2xi9HG4JMB3v
nLL+bDvFazlHmNfbMyOTr7C0nZs5zLx9DVh12xhFyOGzfEdM0hYZfOBy6/lubO07z0gU3q2mW1Nk
qvvIZ7hkjUQigLWVUH6LN0ugbEhmeOgdFF2jd7Q7hvg9vlJ0vDqDqR3iF/0aY04XVKo0CFCJumPF
NGjTd7X73gEH2DoVwL+mt3iYKKM3IVlM9wBWeFUn2+Tw8KegHQYZVKLCNzPn5cZjAE9w2lxPTxEu
UWjwabzJMyocCvGKMBotCdxsaHdDlaoD4kWGEQZ13KFln7kDizjfeNEstpGLxD20IhdEmSKADFrI
SmUiRhRR+ijpF0yXL/ONFroQUlRP1doLD8CjY8FMN5aRXlYRTdDoRlDoHTzbrAqfVMmaeKiy+tz5
I3Z0OZXEyI3ePsYm98ryvjtRqaE+8DP9joec8V4SQw+jHHQgOZqj9eD8av9ZnEDZhykItr53aSHE
e2yL8Y2nQ4oLL3Sit8kvHqxRQqJWCRIYQ614IYgurdw1F4Z4Hkrttm/Hi0r4y3EVklBawpZanEvI
MdPnZrEzFbmH3lQhC60qttBhk/uQ2HDzbKwmhqK2OKLcTglQjbikulLoNy08ykwnpjuOUJHj3WYR
4577VOCttDCgZZZ9SmecpuTD3ZfzMJ3EhwFLALa7j0mHXhf9+JZ5VrYfwXuvAZJdxWVyi+/LXmcp
SRqzNxA03cLhhGM+75C+1ztLcIKLxQE2hZbc9CjH3v2ou40H9yF16g6gNN8gMLJaPdeg5MBchUUq
9oMTAlVY7GY6snHMds0OGxu69MWQBita3OlOPpz47gELZKiV0ecu49TPk0+W5V7MItoAdRwDxrvF
pkVssUK6rQXxYoBrFivcxDz0gLJTBiF/+ZNYLHMtSpN1IslH4JbYAyar7yM0+Dsl+1AExofhrli8
d9PiwpOLH4/dfn2qkFu9F76tsW2blmsQaXK+OPhaGnagiq1/1zrIZ4qp3zh6/wzC7xKmxQJQmC9G
EdHGQDeOeFICrLW4Bn2ZVAj8Uw5VhnFHJjzRarTaszWpoKAUXiyWaLlTa1fhQGwMQ191MrVI1sOK
sTbm7sCWGO2hV5Pl5LEszdN3o1UkMjtlxquYt2Zzb0UjWbHeO5Kl8RvhdOEFMZCHjUSYJ7JPcEey
hcIpyRi/e0HX2Lyns+6tQT7nN8aHxVKR8Mn1lg4zATuYMbMPX6avMgwCY57IW+Zl3VrVormC6B4z
UC0IGklMpT9y9KRrWUPmaGWJr9lU405fTKGzR057PzZpoIzYudcYcx8K5PEF42AVxmsrbj/VscYl
Lb1rTxPE+CA2flQJy7+6okSJ9Po9r6fpU01qMGQQFxigjRxsZVmFf4tC7HFyh5sKldimLOMLLg02
oV7NJq9/Jh3zAb5hi2Iws26ZqwAvX5yyXHtY1D7ssyj03Od08dRWlBWQor8SPrJDVLOf2+TUJe5+
7MYeg96iLJrtAqPOgm/bRKgk8zbdVCD4WY0DIBD9jdL0u0yPv3KhPY7N8NaSKSOnUVzqxf8ToRIL
oKby2VWzwb1LFRbGG1E67jp1ZnVVt7YehEyk0Z3Y8hKKeJuLMIqh5pHu5cd2fwE5PyM8ldiPiGqu
16nQrU8cv95ZfWibse/aG0r4Ev4iVacdX/QqS5CrYGVNFmm0BIJ0SxWn7qs0n7fgusUNugAq4fQN
Ny33zWT3p543mkSV/spJW4iwMRDJVpAgzigeHwZj52NoJt3asHB3WrhfgqrRXlLl1HslsdEBqeWK
DiXYbzwbK9k607qaY3Fux9C4ofyWR88dzD12k4idZ3oqtEl+xlfiPg4h5x/6phhhl2Lt73add4es
oL72Q8PYjWn14uUgF4TfLLvqIlxNrnOQGmjNVnbP0mle5FCJdWJCd1SF3Dldlh5D3dCeRFJ4zyWB
yJtExtpDaTdr1AN08FgP4A/w0r1PaFzwfhpwY5WKApi4gJz8ommPDv7AfSfJuOgHZ2+NncOLWkTn
MNJqdD5cUhEJI1ZX9k913MmzwPLxGR2HAalUkurbOFLj4LHiwCRTgzQo2fDZScIgVkUYjJGPNd3N
4NEJW+zqoQ8fiGiWt3pkemsZy/DOamqwDkReHqjBxrvKzMsnxEttYBWjvdKEUHemVhBzn3T5W4U4
a4flv/zm13VILgSRTp6kgq4xrZ9xuc3EDWll8YLDIz6LYU4FGkDPPFW6Su6jiCoPAYpMHluskRy1
5GJg9o0uRk4iUmQV+sVwGTj1+OLJF2vbQ7gwX9hjRV9KKCSr0ATxNGpj8WbL3r9obLwflWFoq75D
S+FYPdZzUhDvMpnm9xVKsOPoeTD8UyMZeOlNrMd0AhuemDRo2+VyLePbNrVJsRAxBVvbPuLot/da
O40XYoXCwBllebHbrj0VunA38DXfR5hJH74KZ1vmasnCRcXCHMwD+9BYp6gsrLsRY9Rm6gx5itrU
of50WM50QnyhZZX4kCL/ve5Cc40nZTrECpawEyXJBRtTArKsoyC3S3msAJBza9iEyJTSMzDV3mTa
WG76iMrcS4gxSjSD0GXTTy/m3FwXemziWxbtanC7ghCrjPFhDRu8Y4x5FmOTfeMPJRPChzGF442h
G/HTBHDk6psI568dyNOVp7OHqtk7rI1mwiDtG0AmB8wZqNPDUxhHlyEjHEka/tWyCFpDxx3gGonk
KVkWVuMME58YvwCdu3tV90RJiTndlnpB3IfZjqelyQd6Wb7LEZc3O91T1fkKBjYRnjV4/sc4NjVr
5YLIWcc8c6ghEZFigCnXfd8YZ5sSLJCmWT5EFPAhvdzwGOnCWWlSv09VFGLJ2cLN3BmZzI4A1W7T
0Vm70cjhoijJdX2LI1IBrJnltougS7OpuU7t9pWPJ6jpqUgvfTXMa6Gado0gw6XnduxdMzOEXREq
UgfC4oOaw1XBC++gDYo/z4SjR5yfG1jp+lIbJNtKatpmqDVzQ58X7r20yNcZnJDboc6TNfwguR9a
f8bblRZ7bor0aAx1yey18K77Wdm7dnYlzOPoanAt9klUo4TDYpEbVznTs3WcETa0NqoQHs3sm0+Y
1YLJ9gJb5stGrcqjoKq1LKDw3cfVOfM81uzRMJ6Z5bGE87RpuG9FWn4uQqBpiCSNEP5cuchxocuh
EI4laYb6kN4WjYHEyBZFh7XfJqbMW7A/lJliuFRFVl7SLjVAc5TNpdZy2lzQWKiIM4hrMz79CJ2R
/9xbc/hoGtjy5UDfsuoSRX9alAC2yiYzdsAIup1bR84dkursCN+2PwhViTtrsu0dSuzmq9MAC10v
kJ3PVeV3X6cCVHOL4GY1DxyevDT+KZRGRSbs4O3ZtCpiSOwM9kYLQdRs7Gd66fFxwC5/34FCv2Su
CfzJKKt5hbTq2uI9vcW1yC8ze91jZI7vdZ6a+AJn0C06qnlcl8mxn9Co2dYSze4sOq621Ixrbltj
UxDpS8sRFyultLOW4rbNiOvawnIhvtyQ2irPl9W8CR2cMh2F0wWGrXvv5pO28Qu0twxJiitW0Buz
mb1AjwiWqYco2TtqyI5+YzWB31WfWCy+NDU4KkV2STombxkBiAdXopUcGivABgwuH6liS/Pj8Qxj
ilZXva++YLbVjgkJnf8HIpz/YO7532hNh5NIuH810bxPYLoVP040v3/J9xWd94tvkh2BpRN5teMt
SptfV3REwWJeckyd2aXx8b//YUcy8I6whcNVLpbF3h8DTfcXFJ+0+pZrMyNdFn6/mbO+b8X+Che6
6H9+GLSj7bGJuxDYsRmqYucT7CN/HLSHpAOgKzHNvT0QiTA3YxZEVXJl45g+uhOOiFjO9dpe8DmA
e6aHZMyiI+AIfyX1Ll4b/qL8NAePmralw6PjvyvRV+ATqcFOulP8N4u2Zb76x57tX3/fZQ/3w2JA
aOAsE08ZGF7zca9sRn41SRYIZ0KqRmBazIP0K79AOfnDW/r9lfuRMAgg4G9+9E8bRSaeRU2FpPZJ
hBp/nroU6Ir0tnh7q03aa9V69rErIBpl6mmK6wkFCpeVX6xhxrAZo6nZq7lENUjVQkSqZHjbxNeM
mllD1bx6jjVd51YYXYVdrwBbVcAdm1Lft1iPayzqTZ48ZIhtuGykxsqmpo99hoamIKHIUd5UpMvu
Yhjh9wO3xDlrXY9DZ0o2eW0Wx8LXq//N3nksx41safhVbsweE/AJLGYxBaBQRSdSoiS2NghREuG9
x9PPl6VryKKGjDvrWXS3FGoRLvPkMb+5tpCQv+5g7P+VjDPZNQazV6lW6MEKxXXfNUOgVj/WKVER
6I5DZciwdXUT2nOzpn4253o5iqmaQwzvQBQscQqIdfyRdW6PQ1Stjw+gSNQwqZRsz8BGinu2cKkT
qw7xUP2MX9KHcZ3v2qzpjv3sz4XygFOvezkUGZ6smfsVt1QF0cPmsltN1V8TW7/Ktvi6LBFXbmjl
+M6aYfs+pqExI0g6OeL7UHI+U2JUO1KfC/I0ZadP64dFTaw93n9DAIgWGyQU4C4awFkwlsi1oiK9
qWFJ7xewkV1c3xfo1CFzREeya/yJ+klXODOz9sLWInRWQcfvmesufgP4c59ih4TKs2MG+gyzh3Mr
x4VArQMeDGXqtBmOQHnVb3PcoTQWg5+VfNyV5lB6N4+uccGuwT9lvIxWuHp4KNKVTJb7BZbJHXD5
Afc5U1qSjQDR5obWp3KvVcscoJPv0urnmyR1nXxwx9gIcM4trqjbGNxmWtA7dnR0KlsNhzSJjibg
Hs/RIcJDPWi8LEVm3x2b1J8WeNkURHB240Cpp8mbkvK4GZ2BZkRaBOnAal5Ayu8BRtfozLkUw/m4
XgLdVaX5VxoCdHo0RXU/5ANyOjp2gpzxLpQ0VXX93h7BBhW8S2s2LeyepoNtwC/LWwOhPaFj+6U7
QKVHdGncaAcC2ToA0BNSiji0rS9V1dNLN7CExLeFmqcYM7gBioMcY8aMtqXgE04WtlQpCASrl0oM
+Rc0++yjZ4cqQzOIy7Vu8k/4xij+KgT1iflJdgn93FkUr1wTFfJGdmM7i75DNQOXrxoFhiFTF39V
9FCZuxC+hxIA6P846vRnaffQqM2Pbel8TB0QZ+263A9LeolvlIf44c3Uag0lOuafYgoW0OFF+0G0
Gl7E6vgxSRrns46U+h7YZVCpIyrkqOeCV7uG9A/VqLrvlS7QF3ffJuUP6MTBwIjAR+l/IsPtE4+G
6g18IQhW6EykWXuXksUqnfZhEdhTRZVOXxrWBRpYq9jHkV1Bgzfq/lEDA8J7r9RPS7/ue+baH5Ve
jfdRCrGzwqHrB5z5ZadWHUrwSI+735Mi5fc8Fn7dSO8hm2euHkNU0HxtU+zpYQFNT8bCW1qjOnRN
Wh31HPOBZuwl3ju37pxIp3Ux5dt1BqHxUChxIiUtcLI1ke9nbOsR/ebLVZ3H+84FULYNdMIM5PLC
OdFobRaCtjR+ReoVDCD16LZj97GNyvF2hnV0SGt0g1HP4X/M6oSZFyXvUHTqld1GH5p1veh0Yw0s
O79fMXK9yPF/YQmaX8BKJfjbiNxDrAxqmg6QQtGb7kZHutlTHXpFg1kgfdQBUMhyAApu36fHWKbA
mYI4rkJhFgiVvoxb99ZDSQYloo14ByOi3JzsUM1oDcIi3g4A1lDA0uon3MQPKtpnoYX0jKdQMB16
N/3LoDMfmGl0h3whbfUkgltEpQnVLJlwmsy0Y9lk1Q012se3zzE5OT87QJmi6pZGpgcgR5zxqjTF
TDQl77VD7dZ3dVraaBciJpMm1uXbFzrjkp2O6hdXOkst8mGpElWPjcMUj+jkRy5ORf20oyzCRzW3
H22dpsViAebHWzbyGzHX/tu3YLyEEfy+BdBPpgFDxlCZDr/MFpy6mjHQQ9CCaCUaTzV1BVhND51B
So2ijUvLqtXyT8PWDIe8wvcEM1CcbiaKbTWL2kt3HoBG9DVTuqy7A2/i4sbcEeWRM65u4AIhEaCp
uHZiantIo6E66MvSBx3dPx/H4Yuuhb5HKfNEB07ZKUA8vLIr77gPJYgxkXj7ef/0bZ8/7hmKBw31
AsyNpR0Uq48+Iu5ieCullU+7c/PevtRLeNXf36xQ4cjyL0Qq5Z8/y8O0mTbWAO4Tdph4GgSik6tl
fjOAd/md1Ty8fTFDLpXzRWs/uxrp+POrKSm1+4J++QGZVVSnLeOrUSbjMZvjn1pKhdna+XA7JkVy
4Qz6dhgUqViSNxYCbfFw7WbjIeNL+j3bsLDbZZ/143BBhx7xiAX8UIrRA020WcU3JLN8fUVsWIUY
tmtyzIegKPHT6KTBa1KuFpmUtDI9gb79zpaRj3H2mGT8mg3mxXF4XLmcn73UvJxtVeEcOditxXjF
jlSvNPSc1M1WbtNJwcF7bLEafvvt/mmjvrjsWU6tD8jxqDWdW8W02Bqd9VPkiM8CLMdks1OVi2pd
biKmkreFzHLEPOTvbNQ/3gJByQXy4bgQIM82aqFqS9+UKaLOKZD/niMREcprx7WxkB/gfhWN/YGx
HPmmYX8j6rf7t9/BH5az+/z6ZztnxB6oRv3GPAzF+A2CznIzVJFxUbY2C1uJ34E3yUrh/DtjU2Xx
jWHu8d+X3xlaotJhu6oeLKPPrjDIhnvWQ4B4+5n+EA14n/+6ytkz9Qagi8KqzUM5UPjPPCD9CTMY
6Ei/8/n+dCX5KCqCFlSrr4JB447VttnqYYtmvGIcDWake+SceeeJ/rhMnl/oLA5Qf4wD2ECT04TR
cjrj6aMLM8TjFEXIdTQ+5TGmpbgIkR63MlHWm6G5fvu1/qFkRgYOfTi4MwhhULu//HpRssytSCPj
gMBjc9iYwtw3uqkd03QxDo2xfK4bN/fjiZlzisSZhxJD64m2UJGkV74rIs2DBnBjK7OL6hLFja92
ZzAgS6XdOKyVt2/XeL3YYPG7Ur4ECpDKHnt5u4o25VG5ddxaPF4CPEJ5J1HTsN4K8D3Kdr249hKA
PjiMfYLu0oxFIEWosk+XnPTdqlDUQobIx7Abu8gqCrDU8zHzotBRmERTRDw1zRwf1RYRAIOJsAZm
ZpcySdtNKz6rjYLua7PV5FZN1NKN/KWnKjSBuS091Z7Mq77vf6c4/w+9u1+bX//1H99/linGLT1s
5R/D866TAEZHM+nZ+ngFvgtrUop/ccX++Tf+jr0zAZMjdoM8jovjm/vM2sZABAfansBQ5u9dp39g
7zTrPx1sVMEP44gjDFhc/+xVaZJjZsE9Q8CFugZ5nX+nV/UyRoP448ZolnE6WBDZDPVs3+kCxLhV
zHOQxXENlBiJ1Sgb4JlreCopKHBfPHszt7/j8fOOz8uo9o/rcUHUfFXex9nGKWKjz1HImQHk9dlu
M+OnCSU4Vi6o4revRC764kQ4XYvji74eyEdLWOrZiYADom7gjjIHQBnpwJWW1ci4oR1p7DfXeRRP
1yPuU2GhDxVYqc79aSModtvTH8eLyxxLKd+sXSDS0+AzLqUhd7kbd19NlO05XBwbWUg71mC56f3j
Om9W5PWawKU8Wxz0w8utWAR4gfoXZjoUS06u3ZcoEUx7Q5AgXw5mp96mBTJgwEO2yB8yYf4a7KSm
4zDDf3b6YnwaFyX5Fdspxt4VrZo6KrZbdMDQJBjaNQ5brDfx9BsYwtgo47Sqq06H1hwBG0EA5lZG
EUVfCWH4cul0HYmecSHAPzorkkBKrIiwoUNRM3zKFLjZ7kzZCk8IM0RDTN1TSYl2IUAAiZj1oE0j
0xZRXVWrfY86P7Esz4zoAjfH7TLVkddYloJkTh8CM1In0OPNg1KiEUsIvcvMrQorS1ytywi91wVg
2DakmYardFcraaaHA/cEMxHAGF38IvEV26lg7Fl5oCmMLMAuPCD2yMALIx2ac5Dtyf+pdiZBYpHh
k4OhSpLk+JppC572ihuAVF7DPNYlQ2nX68rHFVQcVVwPpnxJQprFJrBr96i3dATyxuDyHao/qkZt
kaUuTbGMX4DpEyoOP30xuN5UiGoHMY9BicnFdbsEre8wmx+RfRvrjq1Txd9jPb8Go5r7uh0/zhFL
XesBVJiVEtIiuKvzDkVL3mhuUPwAUvo0aAjEqYv+0xqjKy0Xx5Y5v4fgXag2NErSOW48dIjuIiPH
i7DUfmZ2uQd63XrlOISGmj2pOsTKPOoeLH4zRc4NfIMnWItX5RBfxE2uefkkz4qk/YS4W0g1s3PW
6TKJ8nAgBU+QcQvAokpRCEdHUAc2f3yF5g8JfAZ180M7WDepUj9UU9Z4s0FFZ8zFpeouv2xsefx8
6XAvKfl44HJxTYjdajcNSLOMRoo0kFNJZR5IfiMgQx2l7Rv0TR6x2/26xLodWPrc8zJyRFwi5R5o
2dWaYZi8GSYDSKWPPF1AZ8yjarfY8WUc5XVod/oDSBceIHKgjXG5Yob9BXQjQyVhV8Ci8YAx7MwG
w9ZS5dL2rCvHvh4mv+stdFiwAUzKFTuSmkmWUhRg2ko2at7q2/2gUFVHvbifVZ60EuXVVPEdTLV5
BEdf/87B/v9wffdwRQ/H5Gz73+la/139/F5+r/72vfr5t5v0R/34vfvbsS/4bf/y0P37T/p96LrG
f7oWTVGbI80A6i1h7b/HQy7cLujytjBdpriIJHDi/YOizXksLNJPyEaoBdPD++ehC7fLgjsB9hsq
D6bk9r/F4NJe1qTIwKgaAjYqTDUCMq7oZ6cu0IjeRk+zCxN0fnaZBdS0ceBrCyJTEnUYWG/FE0l3
420uGkZaL+W2EMBtsU1Z09rYjU7V+xEQJXyN0i9TzbZ99pL/cE6fVQWnW3Sk/zppAW+EfONlhkvP
n8whjzvMJKJlpyDuG5ByG/R1XZyc2++msdzY/ej3sc7Otdle/6cbQB1E51Uhx3JWluhUy85sFuhV
STFbY1smr9EKKYocBUmLluQYYUA2uvQcknYEgsJ9vH0LZ7mK/EoI9pATmfDPVOc8V+nNVO8ANrdh
N2KeSap2P4L+RjL1vcpVJj3/Kl1/v2tQ/1xGcvd14+xRgaj3wwpbNKzqqT4M8eDuxdA81G3p7hHT
Tb0VFj/9GMaC0zy7nojU6kpZ9DuLoSF4A0cJDMWIvveZNQfdoqsfjZwDTe6LEIWY7jhW9RqiGoLS
bUM4Y5wtaOU2za4bpyGglUbWN+q3rZKAS414kWtr/9VH/VHtek6ttEUWteK0o7G7wvXZkus1+rzN
pjS93u5rzbH25jIvN0ufP2nGhuTFVDxWSun4RRchX+r+YhTy0djE17e/kMzgXr44toTqqKrktNAx
k1/wWW9HbJVaxGkLzsWIHJTx17+yKPLxIBhQp9ZRGwBkuxPt5L7T2dDl6n95YeSzyObhPKFpThh5
eWHczUXT02QPnT7BhIhZ2xGU+nAgsQRBaoDkBwg5Aa/TrctyZUNXoP484VR8UEwqggK3WkRbXc8S
7Cnk1HPfjZgs1u28goCH6Chn34AdlEr/fdbA6o1/1bevM/BzGhjLGv6ZI/DxgdtNA/AsBVdH15xW
kaD0qOmV3wJBu4xPWdPkfmTQUwc5xjchHgDlDanHcTJwFmA+jSq2PCDt4+8AZC772rqyBeo6Ts+p
6So8tAApt7MLGADMwn78u9/atOEIkbQTkCxTatc//9aDnipqN3Hbs9IZ2PISFByVnsDpRXd243rt
SH6mINv13v58/bFt6LzYGSOroVru2cce9TJiwtgVYYRpojeNLjO5FGHrt5/vZUtBBgHg7xIz4EAa
QfP+bIaAaFBpYDRUhMkqqlB0gKuQonh8+yKOeVYUnS6DTD92qQLcqqOffX2UPtCUpLPO8Lh4igSQ
dTgbJE/4XvToA7PJXWXmbJnQN6+0jT6pVTxpsYlIHDI6VjUmnDskTZpUQS9pI6JyHquHomeR59ms
e/Q2U8+onHvFRnwYXdgbHd3UI1I8Dkki6fukFe5eAYoZYHWsByglhOpCfLO0RffS1lUC9EIyvIMt
7YrqDsLCiHg6ljdEotZx0OmhVtQ3ftUuKK2fClf8LxFkRWprl7ioNeh6/2UZJC22YeoUDdljuaWP
Vmbclc0WXUSoa+9M0uNOH0nrx8RFRLE6KIureiPwuX1Rp09dTF45wrmA/0/Kn6McsXM01ncV97oH
yOzRnliDZh5/Bs2Bd0nh3icsDuzhc+7buKtSVznMKCYEuNo9aBW7Hdc8l+lB3n9tJIrQVPDgQdtE
93LoSxBiM/M7atWEZV0wpiSd7WMEMIy2RTkZdzSPGutb1UnRzLHUP060l/HH3jiIN1sJRJE9aQkP
PcWD45e4SaODOHzs9PyXnXN6YgZ+Fc/4oEwOgXtG/jzIOUD8DJV+BijKg1DBi5oRZnUI06G7AfvO
G80+wSeV0g0E4iP4jmpnSboF9FadiR9DQMRAr0Cafso0977tkZ9lrjj4eeRg4kdvhYNlMr3C4NNU
fffRTjcVsdjxAwlGGInqEeNzcAtjQzUqij5wF9oQ5Uqw7NrM9pzC3rdt8VS5iJjb7XTZDtPlVuZP
VGFuyPAVSzWTB+3n0qLUvo4MVqADR9CH0XKTRzXlWMsZALeAWmyEjBw1rPNaHplrTX6Va1wK8NcT
tTArli+7ivjJ0mppZNRaX6YchjU+hCAhYNlBio6fagnPqRKitZrOSA8C/gPnnUlbdcT8tvIRnHnx
YaSD49mT4nxiPLzfsuQROcD6gLRsd2mjeq0OBc9IenplZ1TVpw9DZnDT21gI5MyjsVhh7a4zywYQ
G+odEa6tTZI+OnAAd1Zs3BlO4YbDWjw6oAgRdE8fNYY0u9PC7TbuO6qWvVjMKtBKG5Ne5x6v3xXw
kQpuU26BkhWmacYdXbHetyaST8AN23W18LHGVGYb0susLhuMdhNWkKHx+Xt8jhlL18A59Cm5mlWm
boj5pl7jsGjrIX083Ti3SxZDC3uPGtEa0vOF022N/Vd6DO4eojXxumEyj+Juc127bhuAc9c9ged7
sLXiqNnY5WHWo+xSRLq8bJnQ4KtB/GCLimIklWBJAFN6GbAELQLQo3cs3fz3BwZMfKcX7UPdsK/s
JXtqbe46arPHU7gYRf404KSGliSvocpiLtBTug6ywm/sNdt12kA5P/MSKQbIhzbyKbJksZuYBDIK
zq7Qx899tBYcFFzRWrK35sHS66vT6QQlst6pMW/AQkjuQrezJyycolv8kPclSZKX2psZdH3V7K1F
RynE/VkVBBNDZ+VWJF07ZuSf+559bCr83EkKodg1L2Sxwk4UjwP5lQxna8WLSAr75hSURovwguvX
Aw0oDsbRvtFrxuZtYd1R71RhqrFVkPN8XLHy8xyDVkcx8XFP1UQiExY7NZRAHjt2LW5OTziv+ZPc
Em1q3cmjANeWu6Hhxk7foNHdm7QE769WEeCP+cqJMyg6lVw2lYNHnG6VQa11D2pmaldWR0eiiQtG
uSwV8Lbr70jnmAQTC5hLvVpEVDpZAdFk/oAfwxAsCvs3Y2cywd/4W46pHKBqRReD/Dog/6EbbvXV
Flcq/ED24dJsy8UpEuOzRSJmx4U/p/QkOOPpG20O5PpGemvElc2dOOgVyo4FfsYLq35s9mk9Ik2f
l8CZYPj5jtVw/PREBNYwP16eK0bOTfUyec5ti+5SFKxJvoZGhAwCbN/Jkyts2fg/k4Y0nUizn+B2
7uaaRQexuPEYvgHPlb0U9Eyr0HBJKOTX7TOItEDcdyIh6lMFVWEb8wPbiargFH8LGR0j8NphlWto
k7p1fWizfgjkGYcQg4EwB6vaGtlAYsuv8M8AEtsSbrJGy/1TOowTFgpNANavlahYP4NFRqACmh0w
ZZIrdckfT2ulGspHBP2fqm25j9Rs5cDoaCFNvGp52kQucTEf2AJRN+TXC7p3vq3YEP0m7ETMoct3
lg7Dc2yqdo85Qsy37dKbWarjAC4gP7fEPmvb5FCgi4V17NDeSNHUyxQV16M50zPqrdLeLYhx+iOO
qft8nJ0AcHLkZy1Ekbqf1xk8tQXgrNliadtNbxGLonQ/aQhsDk4KW1YkpBpL+lS39UPUVcN+obL6
obj59skoMtSPqhwSYzN8yqo2DqlzUl+HtPLAoB5IYrlWZMRG6iejFvmGsan4m7V7a6NMmupYpgbN
VB8hOIhbbcRRbN5W6JczmLl8besj5q2plyfkye3W3RhaYoJXXmgru/HjqBQIoAm995gnGVBMtn6f
IzxxuXVsp6Yi2MsyrxZN7ica0CWOd5QFUaw4uErZ3qRWgc4QrUr01gtanmaper2k9y5FbJKjIN2Q
ACDfVZIXDEIb6hgJ2zBZzU5rq+KgRoATGfYdB7d9KNxS7Fzci3eTYc/XkyHNNRwDO0MNGhhm8hGX
x6mtGvhhpjbys7cKSTVNG/fdaF3QO/8WF/GMpWSXHMrWiSBARRBndPsHOBQmDOuPEXtREDygABKE
lz2IDDm8gqHwWA0d8KAqpTML2xqbYJiekJXw/0uNAz5hKGL32KVNMSwr1b5F4c5j3kuaiL9cvNK7
hH/9A0zUNSizy7Qm/sKR+qyp8wVyow5G8SWOma7yC9En9sAM/VuXljX5qHy3BqJu1mr4fGzmXQzu
f5cBfOoUI/ermJCpZmMvhSGVQ5sm0CCXkl0rK58NdaqduhGW0jF90pba3SfYuHlaRKSpq2T9bAwm
nrsC7sBccAKZlR09zZlSe3hfFV+qdjQvzQ1jd6n3omg9Zr60OMq87X7Em2sS3qox2GwBobYmCU4g
+u3hIXVHlRouB0AFveIUx00lv5Jd4DYmOKiaNQTKVLvh2HT8LVnRAwAlHBhsU6chkalU7c5YHAgq
VQoqsGTd1nKJUjCH5jw/utPohDmE6MRhxURwqbB+mgiaHAXyPmXLW6P7EPa2RlnIab1zSbNHLXnM
rfpBRebXmyz1rt8WzHRUwQpN+uXiNFZKVYH9p4hvYfdeNav2jQKy3SN70F32qt59HpX8r4wzLUYQ
ptVX9wJjO2OHlkN+nc3cjUNWBbd2ILuW4XQbELZFNDqnDz80+9ly7mk5PzZreUWCsdxuYunIAo3r
piOvUTT3SgO0Sd3ogDHUUfgsFuTS9DmYdKZfSFfzrGln36C4l9yqndb8dfJ5qkiTA9mZR7Shu2wK
VgOCCjUJFu+0LCTOxRTOl9qoustYSed7lGnhg3YsN102r9IYwF+eJ94qe+ERzkFB3ibLjaIY+riz
XRmkpYjPNDXk3v0Azm8mx9S3qQmrFGtUlKwPRayFkTr2R2gOT5WSPKF0/tB1nEN9hQaowRo5nejD
QhEm051WrtWYZXKDOxJVHjkBxbUeZFgCQpzhAqY8M6u1xt1dVi3o1C07YVu5P8bdQw1R2EPObf4Q
N2wpcBd87GqoQsDU0cVKZ3KH9PuCAeqQf2zHKaXTrgVKzPBnEQnZHRV9cDrlwGZUV+nEiAXko+Oj
oo1GccNlCp01vCTG9q00RPKzSxfYluAB6YCMIGvxH/ZGhdXkIlf4HVFkfkpXPiGLqz6W0VRdFZx6
p9VPvQlvMUsvKFafaELwVIX90VnS0Hb1u4quPcJ/nFxZA2GQRpVlbtACY3e6hulHYzOXZ6Acyow1
Kjc9ORRBIW7uOhfeojm4jQf4AtMqFUHrlDBGMzIPSgHpDUWECwXPIiJuc7nq2xaYLZdfC4d81STB
ShX9Q9FNJdMPJocKzvLQQulKsdo54kY+0VSZd6ez113Yp4kZ3b9d+Ft/ai/QY9RBlAhbVaU3zPP2
yZRNYoqzNQ+ViqIzN2jYWgPESzzwAhQX8GZUNGZsI1952GCYJno5EmqaL1b71Wmbe9VJNfYwha5M
M0ahKoEtxH0+xbeqvqDvXgrlADoZQ4MZDZZmnm7tUoF/6AwkwEP8+dTIPNVIzMN/pkOZPNnLMEk9
hzsUDyp4h4OGVuaKfHazlFeLopHQTTIpFdRAA0NT6iUsM5TBIvdSwDucirARBbGPo/Mzw1Eb8b0W
7hCcQFaUnA9S8/pW7ETHXNPeldP/UyvFBewJkwQNHMTdXr7SrEiTMmanhFFPTemIObromdcebJ2k
C8jul/QUeOnjM6Jlu+F04r7Ton7dADUdl2EG1gKoytHPfXkLaKdJAct8DDPRm0w4t+TQd+RJid1K
zfys8xIbmi/6ycY77apXljv0qyjfwZUZhhQDOlc3Y2ejyJW7uMQg0b2zCOo+Tnrax3S2S9/cmubb
CNozQMAa0LSV3dZTOX1yGz1cjUV7eHt1yw7cWTuWLyCA3zpCsLzP+sCjPqoN2hl5iMqPEsiGgTmw
pUXPHLizTEzDia5vX/J1zx5vEB1tN8YTKuLL52++QkQObZ4xxMzQCYp2dXCH4VdaAX+s73CXRYUW
C+OugNoylYe3r/6H3cycgBsAgXQaZb387iUvFc6yMoQtCt/A783eqygo3hkC/eG10mXWEWdy6Hu+
GlNxmuqwnKwh3LTU9EYcPPwuW74xiL/p3eKvdUBT+O3n0v70YIakaNHf1pj76C8frK26mLSkHMI4
zfpLsL/uPgUocSQk0MqZnXvIvEBIVbpncrReLsUaTgvGtkuMy08xpT+34svb93QGkZEdUzlHBCkj
QZSvFheUyy511YY9lmff6sZaf/1OfvOMHK9Y2pu3LyenjGeLGbkqIUy6/o4rB5EvX8GoC8WO0IcI
nVTcdAgL+pViVUEdYXGikjUDw7C/g0H53CCUU6jic5faCvzx+RpRo5+DM8MRt9LtHYSenMq+ui0o
JwCWWHkoBZ0PBJ2lWWMR92HpTvRpCpJnuyXUjEhD70ZdP+LEcJXQJPuK8muz72s+kZIgQSFBA1q3
0JgijwN0qutILlZgKmzjBmcc9F+z7AfGUdYAT2QzSUEGcTTAOsA9ehpj7PDKeMzQS4yDRNCpEejy
YcDEbElOHdHJgRWjFplnShuN3pC1tarquyKqAMNFSsmroZUlx3angw31jO749ic7V3pkichJMjxE
A8gWuO2zd+Nq0zJQGDZhHFEurFYbe2KAC13gAek1osVmOjGQkh9KczdMk3p6TFqrnlm0NQmhoFUb
cdJtmZRaVkclsMCCBJPMmzdpe92XMZK0qIrg+UwnNC7fjWevTC/kM4DDscFK2Qylpd7c8wSBXgZx
viPZJCntEaVxFJ+e2gz2oUMpBYRjYpdXmEd1gZaJFrxEuu9muIFvv8rXix+Cpsvy0pncqyhnvrwL
aBNGM4kYPa21u8AZgK4NKyGtJvudC+mvIw2jQ4DR8DUAnorzSMMUJGr1Isfou6IrmJH3aLgj7Fsx
VE/FBr5HCLpSqewutygy7ipg6zsdli/a1FPsz03yqFPCpzPzJlFS7+WUgCcQTi1rxorinf72FYQr
Gqc4Sx2UiNrl7bf1p4/GAI8BqCVUQMLnk+OKylXXtqQJk77UfL0w0x307sYre7JOaG9tYMzjT1kv
ncAzY5s8raXzTsR6HSAFsAjmiQbU2dfHBDY5vWg0rQlVs/5luGvr8RroIBeAoeb1vavpr9MuIWk2
LnNfA6aEc37y1trgAGlsmF/O8T5v6tWXY8mt12PP1WKLBi4JNewnjgjHxDJ3qx9qdIau7ZLk3lTj
xwYhrGs8rbbDROG9y038MkyMs6DD9dN1Zswf3v5Mr89R7hgJWBJim4h+DiTorEWU/cLWEgpiU3Xf
DGhM0YEYVeonWtkgyNTinaHlHxJ+rsaKgKEDQBnGz8udVJA6zHULAT/KaGy2tWFSiC9wP2tzgTU5
0E9FSoOKdjz2tKcuXYNGpewZ0m9XArzA0FnAuBXZLwqSAVUwGqEGihiITu1bstnGoMRMQDX6hjU8
6Bv51qknUmkUTjrj5/0gZDRLLfq1cvxi6mOKbjxAtrI2koO5ATKPc1h4wL4/F4CuUA5jqNfgKLnb
GDrsEyGT+Wh2Q9zpsGihijtp3Z5mG3UBnZOZ2w9ZCdvpwOUWlQlF9M3A5MlrMPfdA5+v/i9hAwlV
ADzMhJElPks1G2dLk84kbMTrkNzCLqEpQPmy15EV2dFYrjkDKXLBNz7SNqebbfGhq7l1/HnUi6Cy
EQcUKz2iU6xHk4DR6JpCjjX7xvKHQf/rNNo0GyQOXaa1FyXj7psk4yO8vShfJ7BgY8kuQDPBMVCl
H8XzeN/FJiPYTvRhJTiMxwWSUSnkljCT6TLu3NJz0fL/y8Si1QcLmr9zZpqv4y8a2QIpD5OEXdPO
IRSus+TuvFR1qKLx5td6t9xqOf1+p6ATbrSu+QU/iNJLjSRHOoc9kpuckItCHxs9eurGvGr9URUl
il0sU84uJkqCAZC9mt9UbbzI1/pBgRboneYPtDY0hT5ftGRBEiXAJBs5DbBosmc0JUO1lD2+RbZz
tya969rZ/KIWlt+o7lU3YaVj2SjfrRLzgrrME/8w9MA44hc45iKsHAA2yMDr7+TDf8gsHJ3sG9to
9KNRWZFv8RnCZWJWV2VzUoctQ4rTgKA05UhYYyLUpGzDbShmFOixn1HxNd9SMoYo/cLwoJF6k7Qo
VUC1TecaHqf1XSHjW2vf4+ieMhdv/qqY6PvxyixCoCATvr3EXsc9R7fJKNj3CH6+qpHGQWl6ULCI
hTpmqEXMF2WoyFfakaduFBIv70S9V8mzYE2Rn1KUmWQyqpC39Ox9QXSN1i6nEqS13ezWZpB8EY7j
0yymP33ekaHQRHwByQFoZJRjwGmAZ21AhAm6tssDCzDLDqjGe8Hj/KA83RyKuQb7TaKG5J8/uzl7
dbIMccE8TBNwBEPHPaykEaOcshbyrbz9+v9wObnFQSoZKHrpr44duHqQkus8nC25asGwrgoJldmz
dqgd36uIT8Lzz6twQYwjooDoBMimUTm+fLykm5g2dmkSJgmaYW4KDyUxO+EvCCwxakKVaM7JSLCf
48wgDT2k1hwdkJdCAao2xdfZLN3bbBqhtY8feljkQWsj9mnOUxvM7FGf7kp/WThNFbozLo/NUKVX
lYH/STSVTDc3LGn6lB+eTp0tZ9d3Ke3wYzYi1V1nfesrtV76meM0B2oYM/EUrKZ8M7YyTzXwDl6i
eU9Hsg26uDXDEpbtBVgOhYlK/qFfVdOjbDNCiPa8QwDlMKOVDHXAPP5QUSfvN6QG/KJy0NdK+ANU
lh41ibbT5nZEgs/R9/i6Zb5IqNQiKQ+Qk9HREexoq6fMqX3M0o0LAKoWOLDczXy7bKt91ZhI4mTd
NIO0qHK6ZJGB61+LAE/KPeAai7G48qkZzA9xkuo+7tz9pQMHifbPpn2DhGeEg8itdzaacZ6ow6Yk
CUNHg4LYVqnXX35sV/IllIJTHgQFZpqy7jEKUCNVrzLZJpfK9FL90LRtFUbNbHoGkkuB3sgPiOSj
Dw/CZn6BKBt6HSLz0yL5UeiZsUe0HocdF8UkaKlmsCqQvx0CJNj5rtozRDA92ZXYO8am3K/1bF65
8sdn9fBhSPR7S4A2mRfUwVwLN8IRb7eDnvXOOw2n88ML2B8bih1MHkOgUc+WOpFTQ2gsd/ZJh1Zr
skIZMN7ZvefB83QJAcLQwjwbN6ezF0wVZtEIiB0AA1nj1xPt16mbKDOaDTDIgMzZqqBp/XbIOE8K
uCixE14RHXYZNs4iFEKpdmYnndi3tWgDhl8dorb44U4x/AHHYKSnGFZ/rDsV77kBwdS3L6+d5/Z4
WsgEWSeBp59Kx+Xlqlrbspiyshb70W4U5vJZz9c2Nj/L5AUjyz027uCERLt72g55WJj29Pntezgh
4F6EMXkPtMjRFkIV3ZUA8edRmm3TCb1T7H32P+ydyXLcSJZFvwhpmIdNLwIxB4NBBkdxAyMlEY7R
MTqGr+8DZVaXMrMqs3vTZm3WyypJGUEQ7v78vXvPdTNtraa63Rc2ZKiZ5It51aiEuOBCb99JBY5u
eZD2rRxRnZad6cPJ9OY1UFXstoOdbuGsEr3UmjzKuqW6E9W2wOp+hVLYgjPx+HE64d3UxH7feNVQ
P5sxqoTVWEKLHYLuzvLgwgml5X9TfDkmP8PvfkYKWKIA8JXh4Lc4m3//M04ARe2aI3Tbs6puBqsZ
t3oVG2GgpDr++CECnN93+hB7N63gDxg8RmEw6/M6N9COzJRga4teRGiJKN4HsfDX0Io11rXegrgw
Pyu0GHsNfmzYQ6tbJ7F1nxFetamaRB1nMgb3OdBHFAAzcRWgQJlqA45w0hQ1hwvnze1mFD5ymbGX
2raozHndLNQYoC7brKnb25F/ua1chcRCxNdJczS8I0N+N83V89ykFptQf3QG/FGzTZx3XAt1NhOv
eyVe/dtfvzJ/ytWFGmXQhEdT6dEKxpf3+8dZkXULwwyBRpw19E56rQnBsd4k8fBQQF8Bj2Ab8DgM
e5W4gMlNOl5h6lT+PoOZQCAr3auM+TJUEJZZWhJfBUNGf68xwTBeDuYT/xX3RhHaykTYLvc0knos
NsLdgSb/OqcVYLY0gibXIdlzutbe1mZdIuozm1Bz5XOfT/1WjRp82AFgyNz8XWVj/2m3AlrAbZO2
keOzgI0/vFBp0k0u7RRnaygObx+Pwps5DgzB+OLY4npiLXrpd7tuGLWtpRUAZOZanIy08wFOJdU6
FSD3i1wWT0m8yDsSll0GKgWSHunNW3OoeDHdWFsDs5vXesM7MnWS3NwEBHOv+yQUN/1unISBlsB+
GJT1amtGvpoC7yESyTfuOmRDMp86FZ3m7WNEG2ciQfy7jnqShGufUBuVcx0vRbUuhrHbufQGdjYj
vy2DSV50xUeOQW79TQ/nT1Xacpc0PJumN/vOn4rCaUwEM0reHXzln7gN/LtlrTR4qoCKY1H861fV
+9PJRWaQY6FQo5OLtfSPYuaip1el94R/98ip1ilz6FeEZeJUzQQp6HMxbi09Sm+F24mT6TdseA3l
lzHw0EdVU8GDfgyZJr6oILoZYvcczQ5cVFQ+o3uc4lQSkse6VimSV/4uMGB3XmsB72WTcnyYA6uZ
sv1TtvV8b0rEfEYNjNqQst1jFTOYHI7lTdrq7iaLrXgrkMQ/DSpvrgz8o7VhCkW4QUICi4lOI7MN
WlzEtm9iDFtnxFzBgYnsPZFi7T6ARMu0Muih+JTeTYO74jzobMttlWXbdvk6TEzzpRBXT87Eu9Uq
jhlNKL8IHdNLYUx2rMJOA/+pS92mt6a/WZGXI5ExGGcLALvboCloO6tY29Y8yJXwDHcj6AVRgbIg
5r85oP/F28JLQi9m0aMvp+Tvd5rWdSFax6hifYyK7CE8vwYGWjhLW649hwXx1+/Lnz+PqSKKdEos
LurOH2/pblaiDJ6ls82LggKkYjUgmwsOaI4As8/ATv/684w/F5Zc234wK7jwMswL/lCC+MjbajOO
7S06JmuTTChDDXw6N0nBIKokDfc0BjaM2Rbsq+ybfdOyXbhAsDayYPF7Q8koYPCicOTmDJmLg0pX
/Kp1aTeIEoxuV9X8KIkrm2vRsl075XK4O1HDyZPkd04p36dlG4lLDL2JyUvnGvk7+sV6QxwV27tM
NEIWLOMR2kR7AEx7JnAw2zJl+KwBAK3nwfnMvPzdFHx3Te/G7eRH84m+lrkx+pHGimwe4c+xU2ns
/D+O1iqj1GrwhL6iKLOAVSK4NxD5ohFhNQUBp6TgFTxJkeunobO7nXSX07TIEINX1CVZwjnTFz3x
RMtanUz2j6boJ0IM2N8yxXs+17ziWdO0e5TFnD0Z226bVfVzkmRAyUrOzLzhC1UeZks6LvM60ART
gAm4y69/mvO+g4TQtkB+uM0vebvr3hwINUBasJqWUzcVZnuwk8xjsbBdJMZAPdCNMw9xbA+i0/2z
UTPAJ/+8PQRd7O9bjxVaCv4KcV7auowCoDIS8Tea727XxG1zmxioiADBS84FfkwNkv2t0uZ5XSmj
3fSTdHd4lPDxFgnPLnf8XT67T+7kfS3Q64ZAQs0Dq1OBYc+sDTsYb7Ez+TtV55QsCWX0j+UeuDw+
lKZ8gsYpUAVUOqLg+QvSDLm08+v48bb/r/k+lw/6KhmFJDGy3v/4kb2LC2ghFPzuf2x+BNne99+b
6fq97fPuH3TL5W/+d//wN8TB31g6DXgCXAtZtf/e03lOZtm8/w7u+c9/9l8GTpvpL5NQzsV/wj0X
9+Zy87TZGXzLZJH9l3vTtH8Bu8koBDCCjod7AcD8I6/I+IWK3uUixTbGv4Wl8o8HcPdrVfyXeM+l
mvu5eMYJirMIKgTEBC5mPy4xP7VxRqJWUN4Wal8qW67oQ1Z0WOpi16TGrcV2dEgiRRg1ATtO3H83
Izc6xw6K3p8e2W9f62eSAulh/+J7mPgYnGVYzOzxDzWXFcSahE8MBjBrgZx7xta2MqyjodtzNJ3s
el+7dxEy5j5ZnAQOKahmHJ1TMXarurEe+xq7gQkw/3lObi29PFkpo6PE7xxag/SrXe9UGRWRB9TY
ttPdTz3ZKhGgrx/JmXr/NADambAcjlG5SYv2bszGy5Ah97EqYuLcLUx8sonii5ZWBS7X7LFPrGbT
WvG77WVyjQzQXTuuGiu08mDhRz5o3fs0CsgAf23b6hFy9DaLJjw+1h00ocX2lYkVD7a1rO5VuEMG
lmbWt15MwvpIhVwWxtYhRWMyz1KTW5cEIuW/aNl8JSnwAQflEUfNnqnJsRQlXoIYzVv9MI7OFzx8
xJmM2S33035lx4Qwjbb09xbgbfrwt40/H93R+S4hiPv6G7i/Jy/m4zvv3DjN1Y2MHcynjTFq68E0
65Xp8TUQnoVTT94xJg2Zq29Jbbn7frYMej3upxnM0aF1TEHcjVUQN97X69GbT50xnDWfdjRqtHw1
GGZoTe4DERqHRr+SRRPSj3EZIQ8P9RjfcW5vGdOmPK0gQ845bRA3du5wJIniqUAgtNI1m13toS7H
T+DXh7HVv8yohSZa2ysxVK/gabaTk5zM2nLoNsTrIpIo6YInXq9V5uDhsmw6XnTa0WttJl3dxlr0
GlXzSbnWlVssN1avfzIsTg0Dhn1x2+qKLIKRg7iP13Kch5XROdzICLvJonwdjN1banWhaXPJ08f8
1ePVrIX7xL1aX2Fu/SbrhkgZUaxlm0JQRGxWpN1XfYl0jnQIWvAIO7fceMYQOkq8pIXxaBcvXtPM
l5Tu74uai1Ob2ffRqNTOnwYQnzBDD7YJqVxlJ8xDa7cu90Tfvbp99J3Q5DMZXZXz1Nowrw1yCbCO
6ffmAhDQhvlQxemLbZTDvgeYrtCFzpF3o8Z6jf5rqxzrYk/3jV+dmcaFbSPA0dqTvLEDatoeznrv
irtujAgbSLs910dUAGDkma852d4Xdyo2bgBTh01waEvIhVhzV2wHd8nig8P9/FJhLZ2h+0VzskmH
Mqe3ZzTnOjBIHY5J7k5cazPBOG19XG65v62zO+5r4VAZ92BegZjb21yfn3W/2Ct4Z00nhhXDsRcY
cKGt5TteDQ9kulkcLNnbFLdkNEfKvZW9cRQmUUzm/JQo01nXpB0n+GLDLHGwvDiY2Sy6HOMFDfsO
IWdYzr53gma74b791VX2nRGly3IyL4HeE93VOZckiA/Mft7KrD4kvfNNZhBZuAzQYcUgYMpim+Xl
3lkygXM6rFvpMfBAgn5dzsBwjvRLjBZwUxp3DUGMeqvz5BGCxLp28KvkDOdnWLsYwZh6qK09oSvX
XOfOaUhXzlPIY2X1mCypKgQRhIkjAHi11Yd0grU9uc8F7GOX/2NtphlAEfSp0yipuponjwAApK9f
+qmo9sLoBXWS/zwP04M3DPF6DPA/dGSoRStVNI+6Flxmq/7S5c6b2ZlbUs5u9Kn/Uk/ZSzZ5xa6r
+DnQ7Uya3DRq2sxeYl4nW7sGPo+noNj0PeIre0Q/PY6SVY0instFk+49fzgMuo/X2NrNTfVpZcWu
7NN3opmS1TBFh7IS5rmOWPklFqvQqP3vdC6eR4ciit7rBo/xtrYWPauN465Y+BytUe79OXg3e8S4
dRvw/nU6WD+hh2aqPZnSulnMdhtW2C0Jki81iUwTId4bmxDvUC/a9zTzWBiFQWrc8IW74R0+ikdt
8G901d3O5pKglnqYx7GcmDI+zLH9nXKUeOwGe46RtDczj1WLonOmhm1DHuDKJr2ImpLblabB3RcN
o/1mjDZE7p1YeofO6IlqsLW7plLId0UMJybVzrZOYkMSJ99InoPxn19x2mHg0uJ7eDo7IGOkRYPA
9bJN43pQ262DnO3j0A4Uv0dXdGGGMHwvQYjoSJxd50tvZU9R0cLvJUFs6lfcMMJasgnpMtp2ItpV
jbuu5Jtoy9si8F5UYxzGPFh3uX0a2m4/qGobWeXaoL8Q0nE86MkYrbK0W2XeQx0Na5ws+ym5rWX3
MhUMSYZ8jxsI76PxSil3MQdFJyQgtDXYJV2EdaaN9rMmlgt58+hG3XuT9dFK2DBy3ObFJyzVyVGU
Yw4tA3M/5D3A15txttZYNckHKZt7bbbO08jORTbaCpLjEkTi3Tmj+F5Np1h5G+npFzF+goG+pf2/
TaGZNrr1SQXOdRtucJ8bJ+o3pOHJZ2KW30RsXyy3u7XcZp9k8SPMpI3eA0FymuDVTzG59J8dlXg9
sXUWZdg6za1TjyxC+coSea4n5+jlb4TxfSFo7S1mftJm6U2v9xfCoUILMRl5beJMb/AFK959Q7yN
B3Cgxxo4VcWldoq3Il7CbTX7I/DqW0hFezlOZy9OCshKVpgGxr6wWnoq/Xs/969YpDa5M0MaTb/S
D/sorOkkNMwREexpk6aTBLGMNbFFVUnSYxumZDIlDzC/LTYFwdyIbbmn2UuYiN31m24sdoN1nlP/
MJj5RQ+S78pXGws+AZ5azk9JR2lEnQ+jTmT6GecQON+gvont7L4pXWxD7rUvVCjQjSVF90WcS5Jx
26cU6YRVa9uqTW8reqpcqIAzKWa8CVGB2mxuSsGPld7ReS578vPGYS+L9hvCpZNIsv24+Ggb88Ym
eAErZH4g1Yrbc36yR0ZMnvvcjM0HMOBo09l2gSFQIPnWWubrHYEXafE0Al+4H+bACImMQfau6xQ2
UiJkUeTewYfKIBVlHcio0nbuKuF+4TL41Yz6FygQO8Sixcqzm+cmg+Q8pMQ/NhscTKEL7zseKWbm
R9UxB2PjxTQcWk5xrSuke1G7mwxn4yktNOOzGhzs02K8odUKokKGwfCZiyJEUtLVOESYHEZdcknb
I5FCazf3wvE6zmIrW7TQ5aWOME9qaAwgzQrOj4R7eX/tOYrWE03VdNjNwVPsmS/xoF+TXmc/8HdJ
/JglCx3J2feJfTcz7qma/mbUi3tl3BUWLxDGrTl503SxGmsjW8neWU3pxzB0e2BDN0nVxNibxuMY
tIjna/czKJ8Fa3OS8ZHmHjYjuY8CLhJVjcwVaPwUr3L/0UXX5Nvde4JjA/1Gv3YiPVn51A+95r1k
nSUBdDzXpBPOtXbozRNiPQxabFk2JSnxdse6cB+M4lE5xBtN9hD2bVbjf0WexGZdPMW6p4WAnJJj
wFS4h6RPadnOgJfL7Fz5Lk4qR4DURllxiCILz5/eBN2rM2Tyue5gZc8JeXUq76bPsuv8uyDlWt9k
lvqmBplt0FPpO8dJuTvMbgRUq/dD03fGjXQc/atb5uLetwr3pNcxcXps9sU+MKvsWTJt28C8Cq6z
sniSWifeCqrhfc58FPA99/5Nhw/liDrR7EOhZ8QXEhpTkjd3MLwp3nuNrX/nI/2vNOnmD62An1k4
U4dpJjUeJExIWOFxd/EF8kK9JPxN17zmgfse9TGF2bhSTdne10VmPULhG0MtYFI/pWI4oNUiYk7Z
8aHXJnPrYbO+I81lXEeT4ZOzrZkZfk4c2b2s6nMp03jDWVOFoxPMBw331dksvehIB7o9Br0HyYdJ
E5iCJuC5Q5I/d4zWw9KcztI38XPHk54+0DL3nvVGn75WpJmf0s6NtrE7xxd7nOUXIBvBbWqV9RMX
HdaP38bFh5+6/auWW86wojROL7bqnEcnSMUV6sR03w5BdWsMjXNVdjpeGhmI02Q/q8RZtb5qdsHc
jddIGvaTZtukYpbJZH5xfG3YjiSwIuwf8/tGeT0uzhmWGwfmGyl93r6QvU87fxw/0mYu7/p86O4c
TNSXvDfSQ5FANaAFvkwtEpJlpd9vjYk0hJi6fuVaFTNfNZOSE5lGKO202AUirnbFcsEuswlwuYgj
2r35QNPMEs6LhTA4HNme3lInNwGV9NbeJnz3RFdoYk8p4e/lyZ0c30bRA+kXTqi6fLqY+MliYkMn
9dDyZk5Gsm6nYicB1a77ev7qwMHjxtv2KH8i9Rhp7pNfzhdixL64Sb4npOcgUPnYM6h2u0v2mjue
6iQlS3aAYuY5oaaT7GTDnnMmzl/dex20+qCmFLKEYQMY5DAz03cblclEs5a56rZDhYfvceBgsJ0R
cTuE3ls/tvVdGTUvoykfzdI+JLp/m9s9xss5FEvioOx3KqMv3TwbRhdsKq19ZawmVlOcUFEW7qOy
1VNEdE410fvT2IkSkQHf0w7A/5jQxOpQGTWZqhCQ90W5TJZn8zL5/QrdVk5OQ7kJanGuk6FFPUFR
3iYJOm97q5puW7aaua42bf/So8/uZHsipWCFK2ob5+VnVbZ/M5RFR/27ZgdDdgfZDLJkFxUyvejg
D6p4XOtUTI477N38hWt+cprHfryQkGZi6cuno+6W9e0o4/me/UlcB2IZHg2sbZeGPLth1bqlIp5I
FR/ej6WSLatmWtaPs6wksaypbFld9bLOjB8rbll7co6zh8ECeb6SLM1+WaP+slqR8M3HfFnB0Y/F
PMZWCyMn045xxFqfllXvL+sfR3a8IUmpPhdBG+zw0lnZCqaVf0ijbFqXmMfvGKyZ22rZW4xll4EW
MRziiJ1H76IxrO3BevSciX3JaKnPYyG6Bz2V7YMu24IIW7c5VnPTXeKZ21iw7HRmRLMcVazO42If
dJYdUSP//bu57JLN1CUHUclVUNVik/3YTPtlX9WSGLvej80W3A9RMJkv3sqKOqPSp+Bqp1mwEcCz
n5UluDAMA9u3Lgb3VE+DuLcDaXyNAm3cFAg3rSrlkP9xCMieAKphORna5YyIltNCLucGjMXpU1/O
kmY5VejnyGdjOWkQuXDo8NuUhxhyw6ZeziR/OZ3a5ZxiBCMO4yhv5HKGieU0IyH5KYkSM175czt/
o0l4goEUEGphGu3z0BT6qz/1HZowkJsvk+PR1CpI/v4ygBxh1VgkJlQxDaiMd3PTu0pi/aaAM1Fy
rqyxvPXavCSAWiSoWExxWynePAsjeMWlbe9qIkDN33jRu104QGUYDcxcbmRnbFtH9xpUtT8+EdZm
EXqF33qc06A0eZlKQRCFlDlhmKn77hO9dipSNomdS/ABicqGTaXA0LIkVZG4rQ9Lr+6VlTP1qBD+
1ltCnKlLuC2EPbxSGl4FAtq08+iqOdW4UXV9Fdw294Nmf2lKWjm9rrhJzNSVM6/vlAM6jadxE2jR
Y5rWj3knio02pM16iRq8xc2HKJML+3cuMS8abOyz1QfBpq3sJ/IeqYA009rohcrYYYUPwSfOr/7g
ajc+tOMNBz00IT1LHj2yjVYMUNKjcN3HxEgffezUp7QOsn3pUWb3hX6MLQPukBKj2LqjoujpcLjj
R39LDJ1eiZF8Ev1F1kQ9k0FKxwy263RDfIu+Ggr++sCLERIw/ur0hjySt2ttS3e0ma5Lc1dPebNG
OEmM92zvfCExDJUDwS+AXrY0U2mr6M173uv31IXkMLtjvaL6eKrk+IxyrHwYyF+6mH4udnbfKx83
bYbc16vEOs9QOcJwI9tSI+7SSt1q63vzvPJt1W6VyVqTPn3NqJXcwOLJI4G+fRtK5R0mI0tek7l8
cwxiMgqnana5x6ScJFzYd3Pe81olZGgXxRg2BiFJXUVe35KuFy5cGOJVHHsJEy4oLSqd6/ydgxkN
CBkV0yS48gs/ks8y6vgNT9xacQW7YRuoR/6dc4gtJ+fYRdj/RM4NGfCdExGcFOh7UuuTs4y8bwYi
zkeySGbeAjYUrSi/cYv5BBr/yHAEaYiReEu0j31bSYZO0uXZ5YH4hvTWWeVwVVZZ3RZrqgIohlPy
MU3m65B/0Z30jJCfNwIQxFR6d7MhCW3Jyk+3na+TIV1K4R7Ddt5hidd8zwT8kMS3bWOqtZWyORo6
Fw9V+hxWzPYeFCz1J1xlLbdX4+sodWvj1OmThwPPQH240RhHczOumhXQXnETe9Zp8gZBL5n1Bb2U
2HqNcoCG9C3wQ8JWek/W+6QD7oCWT+zjIZ5fU3+5ZMYWeeYj3lfyb9FMh2mn5rcoyYq1FaAr9Ppc
C22HppfXpdU7AFnrEGuufhJDkB7yzm4vkfS6O4Uf+c6JtPEjYv8hE7729uNSUamltqqXKsta6q3h
R+W11GCmhjdKG6QGNHapzthx7SfAc+O1WYq3nif+Y8rwvzah+nlA9R//h/LpfptHIXP592Osxyap
+ub9ZwzpP//Zb2Ms8xcLZt0yQ/9hlf1pkmX8wuwIkSxTXxcByCKg/EdQnf2L4yzjKsRnpIBY5k+T
LJPYu0C3sVr4xNXpqAL/B5MsdDm/q6o8fyGh2mA+mY5h8wz05c9/GmVVZaZp5L31sP/tiUYjF3F6
dvtCFfkKWNAr+rh4pUaRh04L32aW3ffRNF/Q0L4Co9evUY1uxqmHbx3Jz6BgiqUR4vZrTSM0duzq
8iGr9Pa0WM+XDbBczwxsGUSn9+j7ELNCkNpTS7KVxtUtlBOUjckkKI2dV0lxQiT0dJVc6YoKlv+E
/DWPHayugNJgb2gkH1u3FjajlSO1+g2pCA0n5kl7dmKXFo4V8amxeksYjyFiuGG4rYhGHeCcFG58
xxQjIHAYV5Zec/E2rLQkiJttoYNVfay0yr0RZYRiuvLsYlH7T89RQG8ryd4HDAQZjUV4/N2EMw95
z4a7DxBvJAmh6GkTpqbdXyGZ7bIms28qxt8kOjn9do4mCW080LJVbaD7WXn9REZR6hj9p9EHt+0U
uxujsbx7G+FpGFRiI+o2202gcJBt1+XZSyWUubGNPixaqHuXsuMoWrNaI4oiBWoIvEMGtuIIG9P9
6NzprRkDEVqUoIstvw3NAJRcVVrVR+8G2jlyFWlQA1ewpBvS9Zw79nnOmn7rFPJ7anTDjkuwd2n0
FBl3jKSrTw2TzVf6tEo9e5MJKDBDUDd0HUbz6lN9EV6M7QKx94XuY/ZqyenV9isB/4JI9nY5rYtW
v7GX87uStkBiwJmecagkpZ/tPRm8Bcu57yr+OgaHSWwHw+s2igJBLpUCfwt4TdWIU+LljwwkHr2l
rvCXCqOIx+SxjSCaET9KxYmSDssDNQmRcT5lInXKnAXWZlhql44ixrOwqXv0os99Wr/wvgbfx6Xm
0ZfqZzYlcdNLRaSqlutghAF53LhyhJZB8ZQuVZRa6ikGNwuuxf6Sl6O+T7v2aizVV7bUYW5qtdui
l92zHisAeq5/VVPwCBrlrrS4bnLj4XoqbHfVKtpKq0ABbh3HdhnWWmbd7ArcbIcyYh5EpdZUd7Y7
VhvD0bS1aLL8EoCY20ibARdpL9XW5R28xF2rjgQvJUjd0CfnQrCdBe1uJrtjMeYL+sukKaN2Sa8k
NPs7qloo2E77bMTt+FAEBS0qxu17o4vLsLNdWDqpucsSVTznKaBuflWEajmToo+dduBfei36Qs9d
baLMrG8AZMbHeRrIeokU8+uV4TTmuo+a77JqwO1T9tKN5P7lFvZ4TyOQdGK47gyBeyvsWvcIfNW6
6E2E7yxykGUEQ3I/GAS9TpXfX/R0RgKpuYQqTwGH9EyhPHiS0WzaZatqNu6jrAMaxY1mqYLkFuAc
YJw2omftEs2edYMPWaKi1W+KJY+jyIuSjpPukhmt9S9TG7hPfdx7+9qfohds1ohCdCRhjtLTXWJ7
4oALdjrVnpM8wfOijytr11oJuFDXfDa0W5A5M0Vcnr64pfmiC27N0p1WcUt2WdWOd1WnzO+qMtRC
TBjWWtKi4kFkiGFllPPRFxoNfyZT3I6G78pqi4tXWcORuLphz92J9kNU0W7w8mxrzPGLb+fVLTzJ
E45nc+25qy5mFgm6hLijyZKhr9WnUUWYr43EStfFmHF/UMI72XmR3g1zVN1ERpdehE6jV+r9Te8m
alfYXf1Csl6/Yi7H6KeeaLtNMIX6BP930U48znROn1TA18iHab5GYr4fnbJYmz5sSTkNyaFK+3vO
ITqVMgKcpTvxB7egeW/k2mM81vpmtkp4cWbZXWTmO8j952QNQbRfl2ZyQ5YCaJnYlvdOqqMnTRjP
NwY3PmQRy80MaRd0PipqDYj1ARlwv+602llHiQ88v8kaSCLdkmVRk29XAMgh7pldOHG+AyMq14HL
xckOgvuicb8mpo+9N2VywuiWqbZeIcBS3GOtvp03pLuzvUS4F2QZPWN25VRcvgOyV2sTJ7D3SNo2
X3zFas4dqPZ4uoMzyB+AnaZy8OBkVjx8aMA7icJDiftoVv6n06bnYujZfQELktS38U3/otBsE2yQ
WRp+FTFczUEg4PUzbeVo6ZXs7mXU7KbPFW70TW2iwQhm8VyU7s7RhnztciaUBNEEX5jy4mkOqm9y
5IVy2/xR1ZmH5W0CTpHrt7Oa6UvUU8hplz4BgsTHr2lB2Cy/aT+boq2lqOf9gq2nC8pvTII/qIvf
lGdGPFRSAjc5UoeNh2JrkcIkRxCZd/ibmrOvxzjTcJUmhktmGi2IUJbKXKNsQEk5lyXoIc/atypr
HlF6duu5xfftdl2xt0b5rmvsQmBU1uQebtzO+ZhKhlm2842JI9jzzmDKZzm/Krn/v9z976i2rCUR
+d+Xu+v3b837rxz+9xgK//5dfc+TP1W/P/4rv1a/nvWLuUiycIR5OCoCYpV/o/B71LGGjcATbRfa
UvMnCr+pUzLDAKA8cwyHsvSfMi79F51iWtdJy/lN/PU/KH7/oGyl2Qx7mIEHjHvgNfhgf1/6pqTc
jFaUR5sBhluajjvXFlv6a0CK7d1Pz+lfSLX+yPvnZ6e4XlSqiz9gMZf8/rPigkhgzHgR/GS5BcR0
nYp632betkRZOwf1l0J3wm54Cayt5s2XuJj1UFivOSvPTMbTmHOo8/b/zbfiSf6sY/v1W6Ek9i2u
G4H7RyRUVCUywGMWbSoxbTrUGLk7gC80va0RN5uZcFtPK0KXXA8fhmAQq/UUMSGMaMw7Hfrr6v6v
v5D545n/pKxbvpFvEtbnWHS1CHDgffn5OlLQS9Fgp0abdu7FzkztAyJc+wqJJ7qMgnjZytHyS5Wr
vkFuPmNGZ1DYzQ7VdqbswyzKN60pnXt2h/xkEWB2sm3OH6/cMiBoOFOGN2/8mnMPUR1jB1meXYat
2bAafYUwxIHvEK/IBdxYLcIHeH0Iapj1z+ua+QEmv7Nea+ugolNol+s0t89B1m97kRxd7TqY8jpH
nHsQCu0af7I/LUPGNehw5gDmMXajXV/Lm9Y19wm1Rt28ToV20Mgxm9WHVp5c2gaYHa1jRblm2vss
eFa9elF9BhB6widfjd7B7p6BkQOVVMBu5M4CtVy0+chpf4+KIfHS25zTB59O6DsTdLLo6AhozMSo
BFG+iPUeClUeLcsjGdVCOBgzQi26bZ3603ZJ0EYossZJigh+WKyJZyXcLbrm0RvA6vOZ+UDFToJR
LVet8+L6wTEtnNArs4ORO4h6e8oLtSWFE226RJs9hHHe8nj4mMBeV/VwlY1zz++TaZ617zu3WM2D
QrkOW4OOo1F/CO9ilvVNOXerJPFDqGDLDPRY2axM5W/0tAi15CEjj0drbqfK27qBeFeU8Lb9UY/y
rW2/luCXYuQvQFovLbaYYLpLGvrVMHwL39smdNLiqO1vSb+oHpBUvMVeoZ0nioy1h9dTo3N9hdkn
uzDm1TK7iOFyYcuvsVVHZGaTVx0WqkoZ+pb593Yqxb05x/I9sBLqLstZFg3RS4kRiYM32A+e0ZtP
bmYq8rnj/guJWwBzrCCmJe4F4NdzPX4uqqyEp21FKyMqKWYBv8LyiJy+eOAUZljmtt66a2aNodIA
T51v4Y7vTjPl+9IpEHCMtYrPQlXJjdVbF6dp3ftmVt61M4vfch3//5D8u0OS2ATrP6k7s+XGkXNb
v8p+gIMOjAng8oAzRUmURKmkukFIqiqMiSExJICn3x+r23Z32z47+maHT4TtsF0tSiWCmf+w1rds
bJG/O9b+KQzu8p1smuS9+uNY6B9f+evNGFi/XIMjrncBr/erjvnXfBrf584EKwaZn2HSr/ff3/Jp
Qi5NHKcAGr1rUGLAlfabwvmaF3e9NEMuU3g2TI/+ylyIV/zz1YA7CAgPcTdkBDh4Tf54EGcF4FyH
JNhtZ/aPAl7mXsIOWdV8HraQZ/V3zgtGs9yu+6GW84o0Z8bcqeBIWSQ7KLaHsFqZX0CYtrT30HGz
0KbE1aGn9I/Sspju/DgRt06QMNCMQxo02rxviqpyS25a7vOSTf/RZbHZEXiNmjFSUyZehWelLz0L
xtsrD1PhPuizOFIYwG58PP7EDGh60SnxwnKPafR6Bmi1GpCJwair9Cc+PbWZq+AmKPT4KmwEN16N
uTDi15Fh6yEWba9EkG1bY2kKHHSwxxDc5M+V9N1mVbFLXCj4JxZLiNKMillUIu8pGdwa1KPVVOvU
CJkkxEFW7Sa028+VMsc3lOnLjEo26zGw5jH094z8a9ssihkylYAoWSjNqWAQbxX1sKLumS2NL9xl
BFtiDTRvcJsSqKXnO2u2xn1mdfqzRsrx1XBKFNld2XX3fUFY3Bp5KHvt0vJeYlM7p95xjEta+ObV
94h4mlis8UAMmn4Y46TaKCdJvgUziXYkDEzXH7xkm1Twsw9Aer06UPt6AGtulhmzFd7m6kMMjXfo
UtNVkLVMmx8SyFKEg77GjZhb97YMY3S+/gyXBxVEGQUGWt/EE9nOFqy7otlSBzfF8D52mnlOZ26Q
HRooHnT6OEyZEek8GS1OtIVwGyyhuHCGRb8TP5QfNSP7Wx6oIY8jETTGTqAR2JBp5zMKCdfj1NXr
wrTGdbgosad+yV4aIr/Wy0T/axl1+WgYPsd3wGwKtUmyq2VN89Nr5z4NC3NTBnmyF2yiqBxqNiFG
12IhK8yv7bIsx9RF9FE7VX475zyoqtb+R19A2Tcd3CxFbads0oNL2+qVDlVNKznAiCkmzcxNNc+N
g2IwGQL3PbOG+SYzlbtK2AhucXVFjq+6L6bZvMkUuYPlA1XkbXphU0NNUg09KbOkJGVPEn2XYnLU
oJQgj+jIpinxUVgX0HTBuABdb4dmQD/bNww8bBsnTtMl2YXPgX/bkQTwGBaeuOanT/mxTFFyd0Ts
XNw+B8FdQ5IIdvxD7PqbyZGIBlQ5P9mt2e4Lnqk7k19fx2S3j4ErhRk5iQ7hiLIW4FrywL3zZOCw
bmmvYnpZx0iOUAiaIwWs0rJibzXF3YdZyuT6oQzCi19ZcMn7jIMiEaaiYfTEfE7djHVyW6DWxtZq
XdM+knMztQkLoj7JHqcgmAmhmxnLOaEY35osb+6yzNXH2YSDi3EwU5F2xoVXKltEd4P1GF63K8GC
8DVicDJegnCynwfpoyjgQv0Iy0xeZlRsag+u3/3g+c5+pGJ0wBp5SGhB5NrpuxWXaCNaysUK7Ljv
3+duWyGJl7YXObl02m1R5+1OJ21PQIEXp7uGLMb7lJjEywhR4hgrz34qZOeAl25tfkh69nOaoX6j
7Gqtjan6xN2he0zuF51bD6NKxC7XiMMwj8vPnEeYdzV27Jeu7voTIHxnE1uAbOFEZuhvyuCuquSS
RqWawdb6TmwSN9FY+7DVyY1njUQjB0UBrtTzSJpVbCsvBrIKpL2iZBCeW/6dzxz/IVCJ+ejak91c
iUxOisJA+89JKU1nNeBI+tQLThMTI/yK3JC8XSmvXYkhOOZoOfnMEyfdR+E0qk1sYNTPpG7JG8mC
9OiYZbrXYXVn5qo3gD55xpqEXxaVYW/tp8CSDyLvEfbzwd10psx2iv+ILL1UT93ozFHfZR2+3/Ce
5X9yW0wy+CycMLvV5AJuLZvhWauICUmEtPd+75kfxdIWt+OInCuv4n6XSs+/gRPDe2gn4hSHLXuF
IR9WnEUVab5zvqxqpm4bX8oPchtrNGmGQrdfoZhPWUoEw5dclM2Oj356sAr8nq2drg16kG9unX3P
u8bfiM6YVylm+dVY4yYonfaYGW678waPUa6V3dvQlxH2CeMBAIq/nzH+sySMj1hhPBEB4zY3fWnM
rzMYeFwPtGQPduw6zjpJjGajKIeXqrws0p+20huDbZ02r6U524ey6a01nP2P3Bh1ebQhmDoRadKs
WxIXJ4Q5LNO2j93x0UICdjuNBrvqoumvrMkbKIdfh6nZuxW89KpbkIZP3cAIcbLugto+WVg2wJOk
yBsiocK0YPJfMxDzh/zGZmYHmLtZZipjLy5xzJn816F25Q4e8lEVMW782Jvbeb2ktPlrK+hnCQ1S
N/tRle9yLuURidTw5pQNzN84nbPbfO7HXZVarbliWN4+QotXu6XVAT4GyEMrf5zwdKP+lltbqgQ5
1wITfDCc7wRfjqg1sAAiSQS0QDFjJCU7kCEbmXd13AOZ3dVTBHqnwllQ5uKzqjskx6LX91mRdiD4
Se30NZdYGA4zMTb4iurgnr8W9BIshPmFThGTEZ5FXYN919NLHKffQh73t8UTa8qeW4ItBtRTbf7O
gdg+ZgKYFGt2CZFp6nBMOHULYT4hIZW175uRMBBN/HI65o76yZi6Lvp1P6+cUOlbPyi8j84u6Fn4
xlFisdYH7yAiKQ1/q5xGPdf+WO2JC0Kd6tN6YQI9N3mcvBSeRFF3NafCTSpf9eg2W9tf0JgGJYKq
fdknaq8reqJobFQDia1CpIgZrjpzB+gd4qbxLvDwQdkUZC+sqIvj1BnTsbWRvBFSZB4aPLpcSL53
WmhySOKxs+CQKn5XXtgvn3brmfuAzcTa8ZZ420l6lrW0vF2ReiwmiudZFEvUexn9IKbSxlFrG2yG
b2I5DyZg+cwhhw2xFd8doEBUJzyKxSQ2tknCNwcxixoNe1gYa2HPD4bTOse61u6haGZgQ7ia3klb
aVadS0nhdfIaGlCZ26aHFG0vdo8cNwgeSB+BTB63GuhEF99W2sqjbI7RZ5VVsx6vNuHMse+ScbhB
TPgDwVaaRfSf5rTyqPa/DXgq3MWDzm9Tat2FBeabKtHtTQ+3dMcaMjI7za0SKmu89ARnPM8uYsIp
m0a2XNOdmaTqOvnvMOQI+EIjkkD6RgbRiBGj2W2IAeEoY6HnTG98EZgJ6S8f+NOmDcqqfEvoXXUy
m8L5wu87QHYphqoAiJf52ybF/uHhlNlXRGwg9/X9h2bkLgfyhzqhjYt7kMflHeqS+IGxXnCShGOc
QBmzmU2bwjvzCYX00zSpOtGHSLDqtvd9MacENWRc3TuTbd15gy2Ogyq972Eah7fiGpiW6TR7clTb
3iDxc1l3tlX2Zliyv+XYLA/tUuh11/qfyTCGe7/KS3Kd8uGud63gzXWvWWR5xcQY9khDXeTkzW0z
t5LKP3OyQy2TDue918ycHj1R9ctUYd6ph32ofMFOwJ8f4zzvFtzPw7HOfGgtRsgYZCrmF+101f0k
09da+PEZbFjxhrum3Ts+cte5ALakqMEhGxBhkglrIxUOOfzh9Z3y0Z5GAJgYiTjWpjI5nIdQwOoH
/v3FpJXh1xxgThg48Kgf69e0yryvYVUWRyupeIBV554Cq298wmiGoWH5naQPiY16RA4CbRNJNp/x
XBbXXJ45igOb7zx347bzuccn309uwPQ8i35k/2PEVJko/jCbjW9KJVhsCvZPPRw4Wb5PgF3O3KiT
GRFPhffSG1hHmMbaJG9sTZvVR0GjPzNi2i5F2MhjrvTMYz2OB8a01pFglXJjd4W5nmQRE2sWkIbT
cEC21+jD8ptmZfktCRrnAImJtKhsNjGil+pzNtL5pmTnhoc0Y0lkI15BmUiUR4BXflstml+fq917
g4HZbkkLddZDVUGWrJsPkwfmDvHgSGR3r6PMhodC60M5wf583/tzz/LCRAicZPNTHGcd9UJevhdW
uPBXadjqVUv6STNmH0iXIOosxgo5hn37bBiLfkRyzHYW+L/1Vvm18VXiRN+2mdnsPSKZCvSsJYS4
ZZI0PX1gnVVATAYhgPjsCmR8YxgW26CZWYKFGswFnRwBCE3H++UBInydq0nzZGmxq6/ivSoebh0j
XQlYkH4N+ksMol6NWfAjpOAf+/A0VSGv3/Sraaww32f2ivLUPBZCoevy5fdWT3sY8pdgCHgZa8zO
GVciquhq3neBn2xnVyE2dur+QFxd/9aa9fiO4kJtQmLJXwyyb0/1XMefBjUTaJShQsSvvHDH2+PC
HBj9W2cpm5PoXfnmB/FAbeR5h9qkpB0cA4FciH4YxLmdmftwIVk0qojmPrVVxRHfZjLc2YizMZXW
bUapXwfbGOrHp8nS8qp982AElLH/lQkra06U0sVLQ4m0IXY6vOv1Ur6Cks92cxpnQPSd6V1UKchj
1krWuRxmYMNutTwkhjEeC2+ZHoic1PAbdEGoBJGHLJ795bAwqXgMZajekzkm+0HhcMVPgqFz6ZyD
P7tyIwrNeqqHg4IhsRGboSdqwI7b+qH3ejx5Qz2q7+aSjBejYqvMVt7tboVXi40e2KVGEAyDt7Jz
2p3f2T+yogqPbgoHCVtq5pyD5Gq9JATzhYOjJw+RgMF1Y3gDBsHFJtTRtrfGPMvXwSuoXBe/PFd8
3DHOlfVdrEbvrsTHCq6hW+Z1nVZMZfHudGdiOZt7iuu8iRxcHXuV29dYEC7RR3bPKkTf7ZUH4LcE
t1iLesobalikjoXcS5vha0gXc7ITK1m1JQJtYRqIEslXXc1dkby4eZDtYgXMPgqXMT/oSiCr6fRy
lJRnx7Zd9Ou4OOMlpAp9APrAbbLkzou0J1wko5V/JP7AXRTr5c5bvIYc7cZMTsrNrduqGzE9WRWY
hbz0DmaDfQ8RENoKZObCex9dcAtRWDjmO4LComV4sExf3GL0mbXkYcfgoXehkCWkgSDw76yNUwd0
u21sLNvZL5pb7vHmLZ3i5mX0W2+zNC6NQdDj+wvs+t5BZvUs/MI/BrB4I6KLPDh6tsSCNlNiIdYo
2ojkkPEVlQmWdDNP72N3sneqsxa0jboQb4sVs3Lu8Cf3TVDeGEh5bmSWX/3Bg9tu/DbOz2gdE97a
4L3RTEDS3MCfOWVbc6YH5+9hrWzYdqPtMB4OOF0LbRRoWa6zB0vyLiHjt9bKKOUzOS7tsS4IGNsw
Bxcfhkt/MS055VJYCLyRvtHKnplVw3Q7Q5/B35ryFjPCUxbn5W3mevyw9oSVeHIBj/8caP6vzX+v
3+g/j1rBZsNhzPnv95+335P0vXyf/zjZJU/l1y/8u+DP90y2nlyKtoOujpf8dbAbhL+w2IK5RsSr
/9uf/E3wJ35hFwn+CRg58zdxHcf+Nti1vV9M4LzQNElhIGIaXtNf2HlSYf5xsIvgD/HgFawnAjBC
jJn/ONhFwdAHnvTFXoXKTfY2M5ZrgtTCUW6FWfptKsry2Itpag4s6YYn15qDZCMogpctXC7nuc1z
eah6QdRbI4pxQpBhUJ57jF3bnTRS5znsfII4tTbvpWF4/dnxKvb/PgBPjOCum4d71O4BhNY5aJsT
p9B0mMHErjwvSZNNEPfJpfOIuIbgWfZMiSzjElpDexMM/vAKULMksDEIN5bJPdtWwaMJcxSJuHlH
hDaKWIA2MHy7UX22ZdvoFdoryXTCTZKTmZMaRddoLScv7RpiATm2I3gpcL6WUu79QVGt2Zm9j72A
SDhvcTDmzkiEXAwNlTFT5spyFg86dbiF6zDYaavQOObKcJXPcowcPFYbB7BrVA5hxQpRoPxgU0pE
e6AHfFUTtV7b1Y9WaDQst0D4ko/Itts82XacIbmq9PjQjqWY4Q8h6Tq1WY87MQ7GEaC7LvH3hRXY
h3VnxVOzTgx6buyECJC3iTV3bA7H0LAeFssL53uVIOl+sFzaXjjAbaz2RW6oGOtHYC2HwexFfoxH
HTrrOo+tcTMMwlvoLtLylQC/1nsIpMK7bi0sHVCQAc9ZMallZO0s3ThsY9GNO783029m3ST+SjYU
AJUarBcvZvwJIylJruDVHyFW1MHQ7dmuAvtUq7kpIocmxGCO9uoLuPqpGZ/1xAUhWt0zAZ9keOso
vZZzmz0QfGduBUPDqAagij/dM/Wuc6vum0PJsq8RZ2e7DCOmtS5rs10XyLoAgVLsRTPOunktwYM/
McOZT+SUQg6bMtgLXV8+9ST0rVnFUdigR9sxN6yPpo94CW50sjGzgDZmDjfoi5ZLXGXWdmxrJq7o
+aLr6Z5VFib+YFgVddc9zS45fCmLunsjseKtLnQiox70X+QyjMMcWqc+w1nJ/09BqMuTB+lmzWup
9Yz67KRaFwuplbvZhad1uEHAbkGmtdFQQbHL8sOcFLohu3ZYy8FCHd8kwyEZdXEfBgBnet7bGBxK
jFc5IXKZakRPlPuLofVaKab5UvovU5bJh3aud1hxy00bQoWQzB2+ebZBdHzgN09ySLqdnw45v/d8
3ok8ad/8EP0hZqfhtunn7zWtioya2ZY4AuJ+T85QvhUgoYrXxtDiSdd4GlYWS4evzdyjxzelcA+6
HI3tNE0DkltkVcKwh403tsPWbFW7W0JfMw/xypW0gNiwATLxPSTlvgyNoyl7wQkjJ4owc3hlJYRC
q0vKcxIyVuuavDpiLA/x9bb4b/RIfPr/7o33+wvv/zMVPLfbFWf576/F9bt8r37Kggg5/JMa6Lcv
/k0NdNX82Cw1EUMj9Pjd1eibv3Al/k4oBLTwb1ej+Qt/wgcBeQrIXVLh/nE1IhQSDrcmikEAuVhU
/srVGNp/vBmvsFcWnQKsL4aqAKzTH2/Ghnm8divLBSKR/Rh8cecrb9eI8JIzEmBAZ23KGS34iAQY
lxxp6OIND/BuCL+mGuGGZSQ3aB9fikHsyDzYWsQi5ycg/8degxLyYb/E4y3ZaC8t3I6iTyifvV2+
KHTMqzpFvlA2+A6vI/St0HwteTVlrvZuWx4K4TwI5d15wtnp1n1wYwtidmQTgIR3bTs3IdT89ikw
mqcFQEbMdeum9aqQZlT2H0v5NCew6+Sy8yax9V2miE1wGBJ5shr3rnKnl8aBqtxXZz5eG/rZXSkF
w7Aeilx8WYixQ4LrXihu90rn9zJ2CWNIrzYqT+2XmEkcW76HPvH3DpACmCrj116FFzNQr7nLrywx
3Z0TiwPutA0d9KfRO+u2kSeXE+h3T96/Elpd36TfC4h+vok+qfAOqjOemiv98nd+hlkqm82k4RLI
BZuH+4S2mdDz9t6b53tfgXVPU5Tmi78xCBcEKvDrQcHnF6zav/gB/sxBda+qMtMXpgANfSVt/ole
yFyCssDO4g1Rkwszt1MwqO1klharZc9DK2/fu3EhdkO8nIHevIxV5pzQwRkHKSjU/ej77PRqu6C6
IhPWyba+FctNXC+nqVT7oS2YBQWJcTBROcsFlZLrlXK9q/RMyDn2sCjQ5UYTwhJN+LrqOvYADDg3
7URgUEpRtRk6+3PW8RzpaXkYzGy3dBmWVtv64rT2DW6H2yAfbqo2pQFpm+Tmrx+kt9mnqrv6R/8T
V/f3RuBnWfuP//Vv/6n/wO6BA423PaATcK/nkMcp97vn9p8kIv9aSPlf/7f69l//9jD9l9/iHypL
m2gBZIzgE3x+jL+1HD/PVVxGHjLLa8fxe48R56oLJhsFJjtghHf0KX9rOZBZuq7g9fjrXF/yL3mM
/gno+dvBCgAdTgjT4/BPLQeNMfv8a955rJ+Hub4NL9YWrivrjyyCPwW+l+PS7B6dZ1Tg4UAwynPX
Zqi0vsQgrTLa7gCmu1nIr2E8wu8gvIZodmPrB2o3sqaAMndIg495ctcpnC4yvL8M+qudEYE7kwNg
Lk/XFbW253sCNmEPHxFdq2lV7mNxGRnkf0sBalXeaeYjVenbWsG+Ej/Yy+IaZepNAL0lDl7eS6JO
rbtRVutZG6synXdSFDkmhgFSHMYAY4ciW21xzCSreijvJqzTIVuySn+YYYW22nyQV9tqlpC66jl4
RTsfQlr12Zf3IsBGMYxFT/0HYxfhdJm2qP4wtNpnC3RdUi4Hx1HMEuy94cpjYYpyRSAXWYrQZ5vm
vhtI224TFDFcPCI3zyXw46nJ88hw6u/e4CJVad03k7KVt2lDcvWmxtuVk3ngdgWTwxkPNpweoTCz
drdO1p97Atqs2PksfHGean5WsOU4wS2bKnJ+rpm9IPXYJLR0Eat/yE+C+laMvCpJBOdEAgFs2WNE
bpDdtSgB8+l/gBlbP7HSfzjvfx63BIVZVBVwHf/0bBWj2U1ZDW1hWuQz2+R65brdeRq9Pa70jWfT
DZS+OLKo3ZXNvSennWe5N73EWzCbzogN6brIhxx6hTsUhrnNBuhTeYH5M3bOzlhTsXpPjusRTp13
69bJbtrqxhzcnWqqG2vmmg82FWyLJlsePPbapIBulMU0k7ewmbMfLqANr3hjOL+NuXEyJbcJZDEM
qCvFBdvqa+/VkauG7HLCF6aMPcD9s/LUdnTc82yGJ8Esa8JQFk5yJ9P+kjcIYixByXx0ra/C4/pd
hmMrQDXVGlFWnTDM8qc0Cnkqixnt68g1VN36LTSeWEVIND5kP+/LkiRzDXlvAGZIQulyWojLDIL4
fW68bY2pS/KCuMVxHxvWfOS4+GLbyV1eXWylblXs7jtLX6rp65J7001jz0igKst/a2MHaw5NpAEP
Nm0seggeES1cVIzhvnXUN/ZFxMjL+T6ZIVfhT/bWIZ3STavbqBHL19+drv/iUv5z1NvP09mhJgD/
ieY4/Hlp/64qWGomzUpX2Ajq4ntiDF/Iq2bWaX1tVYr4Vh0tXz2y/LpbhvE+IV07By2FnCSyWNtu
+9Y/FQBU1uz1D4Sr3sPJ4+zqH7sgRO7VF+c8HeHdV//D083u/k/VDFUyLg6TA5y/AhbSP8nGO5Yr
DZPVeNP6ysdQ6Bxj8qMXr15NAwNiNmxRXKbBrudcbBKBNZtDqgVwhYR7IiWlTUtiFg1ABMQZLfDq
fJ5ZCA+1nTHrAJ9tC3Z92fjEwbpzyumc5cNTY1jPi8NeVtnfEm96kvhWmAr3jKJVH2Fy5hsLSJdo
cDgaR/sHnC9saX1vnBypWaIuTU9vqh/TcTzrYLhpBJPxTFSoU+HuChF+bf3FipxivABWvh9Ld4kG
ryHOOk83ntNcdG/8CFMHWFomfgijfOpE/krq8E6NXbn1rB9Nme1SZjFhxU+QtAfWaNESkBGcei9a
Yr8PkDn46kOnxmHOkCtIveks6lC9MkfyxtjOVdAbcADie502LK1vTSM7dz23B0wFLDfh3rCqIkoH
lB5saFuTbU3lvi5F+5xk0/1gs58Zh361GPAcEb+0ibknRfrJS/XeTBZYxflnbDZPZdofB9thH83n
Pffo9oNzUpmHutFn7ZKTVgZP0rLHaJCCMKtwE1qkSyTeNknNLW/9ybQo58h+EVP2hazRPZ5w0JzN
yptvzfrUx8umm71tH5ar0kcj073my9O1/kdps06Hm7ApDmheviAHznfkkWUrBj3btpK7oFg2qUYi
pJz+B1Cs1dSL84Amo1X5W4vhMAq7nOwUuzRXi+O2US78HtCm/1AjWYNq1a4rpTUIkfGceTnDNneM
DLYhgTzERvjF7coI5c83itUtnLTqWoueyFDkK8b63LfF3iZPK68ZOGjxWCT5jWvjSVoQTrdsz1cG
JXNs9GtG/qDa9TpOuoqb6TW3NfagaS8H5Pn4jfAj9AzM0+o16bzTpJyXsg+g8opXb2kvkxz6DU/1
oY39H4vt3MRDyhanY91SWsnNPLGHGnALrxmVlRsSwU9Fwq0l6nvZUl74ynx3YQhubK0ea2d+J7Gd
4eLQv5qlA4i2YoEHwuSs3P55XILjCAuCyRZ0seJQ2N6L8HEp9SRP22l+sTpBkOZwY8JIkjgfIfFB
PiydvaGn9WSaZzzJ68KLXySrzkAVzCzDRzEYt0nxxrIE//SwCuP0rhuzB8y8m5mn3c2bH0tmA/ed
oSGFT9N83fqDZuuXg7Lax9j4GAsWjIv5dUroxOxpi8f4M0c9hGpgRJXpPcbhd+lzZYQb1wBze9ew
wXfuq+GRudBZGZIBGRZWB8uqTVRr8CynbgU1b1Uv/YrJLmKRCVrm9yKbaUOCTdG9+uFFeyk+RhdC
CtvNFGz/25A8+YnciUABxXgwpMIKiRtgsHlcDCS+j5OdEXaynMy4jFjTgUid9xmDI9JoPJZ2oNhA
FZL6JO4t/YlKheWo89oPQSRmPteF/QoxFXEk0bQPZjIgni/SL21sFzDivHWSfejuasL9MeU1k8rw
Y3KcchuO3QfOt32mkn2RWeDLckbOYQqLrg7XM95hlCt6bc+QQMIaZA9DrcgYQ0ypiXwhfy3ZTPbs
fjMUcL3AIMfO8YOtrpcbT1WXNGn99ZJbl7Aw3up5/lIXy0/X7xL3GCeJQlk52IYPSV+QDFgGAG0F
cWyjrj7rYdkFi7/vaVmFzNTKDCinknR6QkQGM82ENEIggcz1ey8oh5HUCh2jCEV3uAj/Q47jMdTp
d5g3l7BCCdrmNoLoGRxvR2kSxrLYxD6qyyvfPh/7S+kslHbsRhf3VDfOj8LEwmHtkl4cUcKCkFW3
TB85fd3btPWYtfe7gI4RtiEhDcpF5+VqhHy6DbN17ylSs9yw38BDmqP/ky6xXfoDZVrjhecC+VBE
BXbJTPmqrnk3skZHlnTxo5NaR3432SYOgVvYDW1q7fs9/hIcqKYR8E0A2/31lvRSS/715370P7DT
tBhOBeRO/j+5FKs0fe/7rMOkl/5hIPePL/7NheD+4l7ddNepCTmqBLj8rXMMzF9gr4chMVBI6682
hH9M5NxfLJMx3tU4R30Cu+LvnaPl01QG1wRk4t/wuuEn/AvLKv862/vDNEcE13x1dl+YIZjz/dkO
Rg7JWPDviZlVndpbwOtqBXOcBeocVgvm32bp8g2BMOxAxiSec+reK5OT1e1kRD0yBmTYwj6h4bqy
GeuGUNpYtgze/fKpyLRx8a4enWRCGyNkld4o6Zs8zR583m4CGeM7jP7QBqbfMOQuKUaiMkiJcSK+
NJ5E+cLDW0KqJPTtJrEqdyT0TcAYYLzyIKZa2thcn5LBmakT9gRocFbZo/Q2Q6bUTUr1uJoYRNrb
mYl6sYoniihOr9nQu8rW7V1Wz5iQh3Ixn2IvK1+59pKn2q6rtTDt/ANjenI7l0Rm4Vsfl4+kDj1o
d67PyQm2RHNnkYdb0LraIbHAZBCzbbcK8i6Jxj5PXYeTbinyTWXw26ns6SaBr72xZErqsaNY+8CP
AOBNSMRSC+sjyAKgB1U9wOHrg6w4AewuPrQIlwmTRYn6pzaSZ7TTzpXAFII8zXzDttaJPVacCCYW
Zadw8QlkE71UYh9z3gCQI7W7Yg813ky1epmziiQtH0kBbKquoknHR1KvlgmRdeouhbN2WKTeDkLn
71nlyu+IrMyQunCmw2+rEQc9WhNYwiGTMAyXuKUgrxGCFI59Mq1ElfQRK7Ma6wWMTfBDOjxOHI9v
aRd3PaKrEtkSpRaKTMIJwKYadfrKbgYwNWOUdO90fB9rdirmEEpTcRYJjBNuXwVvsI5VCCmaKKh9
mZrDNzAHOt06dj2BDzXCnT/4swfLVMwIu3DNRL6D7HZT8lg/965jn4ssd0+xGLpLWqX1e4KlgvFC
X7XhDcNVBzsmGeyfrfTmty5Ma2sNd/HnpaiarxYHfxMtlvCKXZ5X6sli33x2XYvjfWl0eMrZUZ1l
2rZtFKCmtVfhFKgH9oPTS+deb+NYmsZ3Uoc8DPiWpV5dv5AfglJoF0zMVfHnh/rSVZUDLYwGmjj3
HrDRHrsoI5LRSCuwKdQJxGEDDGEZzGWl9UsodPPo9TXTC6u6fm6Ldu/DNhhXboPNgty80FyDAZ3a
VWzaxUfCh+v6pTHln6vKst3TfuZq444iQMOViXOJXhyfoltO5peknc3X6zpuBuFSLzuuNd7AYKj5
qZ058Nhst8TDdxgLrIjMxISwA1S9SSy+x6W9vOlk2ljAZGlcnM96DHF7mkWuPjx/kgAWLHd6m8a8
WrdDimXQ6PRl0kNzSgMn3heeax8rWdJye0nPH/sZC7V56r4snQ/TJOl6Ag8DXD351EMrNheBYmPG
Vcu8oKIxd7i3oRfsCZtBEDcvm5p2j5k09OGGSRVmUWK6FtuPX0Ib02PV0+ISdBOKlWExxY3mXjXt
iiVju06Xig7bXTLTWkk9yf/m7sya27a2LPxXUv3Qb1BhHqrr3qomKZESKYmaLb+gGEvCjAPgYP71
/YGSHMuxndzI1TfdeoulgAAInGHvtb4lDnUwBRnLzhI5elOEN6MThms10ZLgsKwNGPBISroPCi8K
2wHdIBsrKcvmPjPikIWZUiuQ/6ORV3vMrHJLJSMbjoCMY/LPRtZ7GiS0WU10IUhIlIpnZZkMiLty
IY7rTMoPcuJl4HJ9SLI2huNQMU63aWqvMdlMiIMGLdoM4/ONWusxsU3ER8+8sG/vTD+oNoYfhvda
68RTXY6VbqPDJeGB9cHcUtBX8eSWo/NJgv5aBTQU1DLCm+XmrThhKrGSeRCn5YOpBE4H+BKs5ySy
6U6jpgnquWcFg0X7nHrOXJGTks7sYuHi1ihtZ9V4bKhBlQeagY/Ik4+DiX1o3vXOTIwIowOzzVZV
VpUnvh3lKBxqRZ1FBclBi6xLk3qpS0OGAJjpm5uRXYOfHXPQgCRYBOzPUtvCktYY+GRHqEwoCZE4
PvWkpJ+oNfgzTUqJynnsGZy8NL/KFV43ooIiyNFdWd5HuKVMxPzolOui0m/pb/u8dGWib9RQ6Dde
1ZYfCOJzT9w4DehSOzWiYbcIjPOCTKxzm4LwTYlkitsd2zw+Doxmgw6SBrtMRu3p4NRA9c3eDG4R
XahEPgBTe1JLVXPXnGHIVrYFuApUbnDv695VMa2lujzlvbWylU8BmIGhs+xrxqZq02ZefNb5Qj/C
9E0QrA9rhQjnCjBeqkRoIdMx1Y6UUkSbePCduyFWqXyKHkdd7KlzNAjIwjoRben0IKgaNY2mCXsu
TYTlbROoyU2B/2ihAdYvVMe4rmFobhOidBcNjptVaWXqNSJI5VGPyWjE7aE3WE0EIlU1hiASEiZ0
namBs3VEdC2Eqmx9MfgLimZsiIDnJlslxmYVmAWswA6DOKZxD8rqYaTmhGaTAko9ZnDiyRWfujTb
0ZwaxY54Af+oFw37+NZJmrkcRUdkAFymOmDp0Kbd+CkNYc0pkLCqed6I8FzYqdxkBex1SLLRx6iu
7rMiGJd94/VLP4Ky77AP2PnNgNvC7ZJLKo35EtDJuALzmx+VcLts8PK68pw2PjQhSRK6lHp16lgY
BdOwpWZE96DHRJ0mWnqEM5GuflAwuEgkcscY2etrdH7IlpUqxNuuVof1hHjJnCCO2BGRhatK01ia
DEBziIjttcXUckGChBEQeEn0C2hzgCRC7eRu1OLu1JUwuODEyPC4FexdA7XVr1SzKbZsQ+MW27rl
bIAi2VeGFQ7lPDUnUqg09GXs9u7ZMKpBvc7xcEcU38P01I7J1SoGz79vhiS5rB3Ne8JsZjjMyiwl
aKQWsFi0MmELrQ2VQqEkaPJ0y1aUco5l8BXPtIzU4UrW1PdqUwx31CG8GbTDYpsUxCLPTOmgXjWk
ZuwoZgMEquMgvLVNSfego72nED1ZEa8TxONCkmDsLw2EHaTJRM3QHXvEXAsAZLF915I3jG80ai+d
oCxxC2XaeaeHejmvLYnovlEYHkimCzAxpvV9MCTiohoCxYMh0BD6i+lubYcJ7+oIJnnjDAaoSwQy
mFcMpblgAUu5tPTa8EOo1fB9067F+0pCjnGtxn15B0O02FLFAapkV+OZ29hBS56LafYLiyoPa8Iq
GjN8es6DME0kHQToDmdK6+cnXpGrS2qdfTuvKMcdOtKxP42ji7PIZbO3qyGKDnNUW8qhORTtr7Ge
xu6RZ8gG3UvorWIMmxe0M7Tm+SpLE9RpARbh3mudayOGM9fhRLnj5TRMlMN5sXUnLFtYZjdWkl6C
do8WfRrIjZeFcAMMHzd8YrbKMs8sL5grQ1EvcgP9G9V727srNIAy+Pq6gP6oSQzYjOawcRvbfrnx
yBa89ISwLyGjIhW1zXQjg4HyNI7jmCaKRIU7jOESohxJepSErLPetVsSK9K6/+giZR9ORG+0wyrx
tDY5CXOd3oodBMOqBq3xyU8DSJ05HZlZDpuRrNHCAfipV653lpcBoCNmrkeF+s9jEPhVc9jGyUif
aqRDvrCzqVZhtUakL3XhRTcUF9AHizT+MCJSv1S9DL5rOwiPuS1sb7XECy+dQU/P8rYZt2Nk1I/G
fvKtfFpH3Hg05TjhLodwkL8iwZanTk7kSdW1a60MAnTGWWvvQhGV/SElyBB2q09O5Fy36TG01MjO
3QTaA9GvYHHDCLPWXKYTuVvNzSQhzyYma74tJYNGKQAZpY1ufVADrexnTVlLEmkiinwlTtZPplIS
fyEqOKJNJS4mD+Ad2GTQoKXlrVJCtG5bTR2IGUBZd4zRVWIS73oRzbGKBkDTzVE5TvJSXekOGJSk
MgZtZg0TcpxNMu2tqm42UWjga0pst8YMpJFIxZYA+XjV6auiV8tkVvtEPWhWyDp0aOH/hQ31kIVR
TDy8GLQYsZcO0nZqefIky2IKkC1G7RRBuCa2EtXTqkmNaXVD8MXSUmW8ci1q1TNIr/olmFVz1Wl2
/qsrxuzjtMuu+QQjSxeNaShXalM1W/IjqjtoeMNxohkZS1Um/Dl0QkrymrT4TauyxFB0sZa4MTb0
5cCcRRiq/blIxeQbS6twhdM9ONdFxiUkCUhC3oc4vmi87KmqEcrwupBAAeJwq1TRRD1LGzGvRsta
UzXSWgLmFRXmq+9RaIvHQ9MddRPiRGMn6xjBYTMjzoF4rAhCy4IikDmhyuxiJWuMd62VRwpb0xBV
FuL/zFpVteSrYRmvZt6wbq0OnQsz0i5CT2rP88iX/gxSJF5hOkIpnVkcw1R0LMIQx66OJ4WmHbaz
KnZIP1exUILOC9dSBy9YYct4yFzNBrHaY7hgGZkVh04TVu48tZPo2EtYl/VBIk6Dak+sJH0cNLaj
3mTWtKdA4ZpSw2cWp2qmVedmoxmbzK79la5ijWsTRx7nzYCTM8iz/hZRkK4us9gWx0rZ+mhX3Agm
iz2mp7lnlvqxgRw/uHOaHnp063SILH9WBeqNbuy7iog3f/V/ibH6Uo/6oer6JCS+JtxNkcyP+xTD
44d//MdrGYz/86WS5Rx4Fj1mBirPfVE6vMiuDXBS6Bnorr0kCb4qy6wD3SVeHWYGixsHwc7nOpau
HWAX0VGWkSI4wTT+JWUZAa9f17GQI0FxdVUOh/ZtHx/9Rf8Rk3Qc+MoADlAzx2oOYRoKguYRZABB
32rI5MAHfMecpKYLWdkoFwqZgCeE9RhoC5ZwCK78omyvOrXzjJlj1bR8UiU7dftmGjHD+lKwOuVV
E3TZ2TGxnhnSaBU2Il9zQhnJP6xAO4/CCWR6t+s3tlCrNcj3PDq32BbBnMTjHS1SQBCUwRx8LSR5
Qksw8xrXzpgNAyOWMxr6IcC+3FsKJ8RmK6jhUKGCCgKpOyZTFKGDRVoRjb7LtrHKVTkoTrLQ+vwD
5Kvemze+RmFEknKduJI6vx0YzbUjbfJgKESn/oz2nb/srAK1AVJSNs+0qAzq/3ZLXc4oHXEUjR31
aNn70VmEbwfwQVia2SJw6JufYIyd6PrENydoEhLfWZEJYagrc8Q+eOhXZoRXy+7sfh6FufKRYpbn
oSoeoo2AVbErsybaSJ2S6awSwonWvc6+fUEmbU2aNoQGm7pPBbtdtL77IehEc5/qSUe8XlOLRx06
zxP1N0UBKFHAUxyj4bSHuIqg2fKgdDTSYx6xij5ZaYrebZVRaS/Q/2afjCxUyACPwyA9HMpO+SBL
cwDyTGKhWJqltLeKbvmkkpnkK+AMasdg7os2vRZG2g4ztVZrstRHuxBM1q72ZBcqLcGAZIT70SEU
/KhRSo9usTMCr4wwTc7DoiJiL3YSuPsNDbu1FhXFEQCTdqFXctryK8U2bCt877WAIB+76lmJcFqh
wRtn3SK1LHo9WIp3qqxxrbax0cxZLACJKTAGKwjHD6HVF2zbC7a5kdtSnhryYVmbpTgSwAeO8Gz3
d87g08oMclwBViJv+0JEd6YXYy00RrebQ8EBNezX45Um+n6bBxRNzJplKR6/7jyGZUCPwYqoJmHx
b7TUO2o41hL/NNR5jR2SlERZon5Rp4KMftiNlX44KBHM3ibA/4Tj6YT8DLHSs9A7yg07Z4oPs9tK
o6IgXOOG7EOqVLbew63FK9iuWzzTuHdJNGGjyz7May3jmGgNeBRQaBYR5Jw1Unt1QR9juCmCvEDT
2fQnRp1P+/GxnZeqzRxikyAx18j5ZU2uw0zULG28MPTWXQw5wSw868aywPBYLEJh5U9uZ9YXjV/Q
nW4s7WoMuvGWsp29AhY/AOaNSwf7AV3/25T16Z0p4uI2EXXzxLwZ3zqaRX/IhfOccOxY9aNuLhM6
voi4y/tSz+RFnpnarvN81AWl7nhXOjFI8zxMI3UeZ43FBowxhXSh2IgRGA4jhHlb33VjXA+zQpHm
ja6XAWkzcHtZa2YoU2Pn3K1A98ehIg+BLvjBosUycGm4DlWvItKOI1Y2D46k2zMT9NhJElGs4Tx2
cnaqnkpvU49K7XZ6EK6N0RmfQqfrioXbqenNWKrOxZD109Ydtk8f1lk1dyyt4zqZxhcpzMF7wwhC
ZdmYfY7AJE39M8BnzcnAGHHp91HwmIVJL5As9cNdgi23nkmG5pUBqwtllOHTBasEK3WJzByfSKLb
17g6qJ02DTYCQMnBZZUF+c6uTN7+lnUlTVpI1WpEdvy88HKi5jS331h6UFNFGKMRWUZN0KCKXdKM
kB7orlrRr+MZqKqB9Yips3yExV2djKpVQnROK5uwUK0ZVyn1zBKtUdhsXc3A/SaSyX9rWyQEurUu
L/ENl8sIzqeAy9PIK7IcokPbNspjyM322rBT/zJITfPer/LkhHhn/6PSySu1yPpNHDRI6gt1iC88
7PoZSV0JrnY56lQ2DHwGSV+BB8ZCoR9rFMA3Nu6607RM8L4j6gnPE6v3zjAxIZSIRwUrs0DWcdHZ
NBtXSPHqKxbl6XXYBsQhxlgN2jZw1pobqhfQdLqTyPTsTUpz5CRKmoz9HbEyh4BzvPMMHseqFb1F
zFil0P9pSH+ZpWoXKRQncGsesVqLrDmNiBI6wqDf2KEUF0EZB2u9bu0TigXZrpelt6NMQQAgdQRy
ItDSPWh1jU5GRPp1q0Xu4WjmzqFbhu4mqKriU+AH3Q7WHwiMwLBqYNdKAoFgbLtqZQ9RjPSEyNgS
EcATqQ6I76bVxoo9Pbu10lCGhW5J65j8FrGJu8Q4EuV0RwcDmIfTWfCuxmE4DsM2uVAcU6HXoLpZ
cURkBvOtW3jlmUf9fGKEWxnSOjQgO1BPPlaZTPcJ9BiaJzAAWXOuJQ3dU+Fil2T2dPJTP0L3lTfR
cFGBH2dmr2R1kQsnI5pUeJL6R+yQiCGZ6thClkxerZ2cSdkHR06YiZPQknDNTSPWHxxKJYi/9KZT
576B+M2zhs470vVWxU+ZRrfM2aCgq6io6dl7ov2YW4q1TlO3WHr42W484A9z1FWUr1xYUGCh9EZZ
p5E/qsdRK/NrIy8Nwi2gd6/HUlHNdZgjYRCFSlYeZZbjiMT7YmbJXJxAiwKiIBz9sldd/cQEPkLC
sEr0iwufAxpNtx1z6B2ax6A7U5y6vrO8UjyFbjveqV1lL1OaNcdydNkdjG5+6fmluXEq8mxmgy3t
u1qvUDJhx2Q5ZAUmQRhxVdinEZkvZ6lfJncCPNspC7bSXPpl3lB8kV668YbGvfdG2lp9ZH9Q0fEv
4VigiZh0mlFA/jzsJ/MaMVxyHFLpQeSKTt6c5RRVbmK7JsWySD0UTRQ+7vNA7W51hs4CvVdVEKuk
EblTj/hOiWfqV3qfhid2JJpjclDcQ70uUbL5pLI3BoJRjDhw16Ou/TggWYBbkZg20BInuXeHCvoS
G1N3Vfmqe2ZQH9QXpaa2j74lCbwhrJcIDPtQLSJY3Ybc5VHhrrqOx7+pE2ut1TCiBr9adl5Lc6kt
7ipsTcvWBFg0c1qXEStuLXXZKxLRoEiD9CriMbkre7VH5tuOK9p9bXaITDgCrui1/QlNAOIbRVPU
wSG1HPODJ+vh18KBGoKlLaIU16VQtJl+gDXSuSmAlgchCx0V3hf9AMqjhOg0lmTYLtJ7OGodN9Gj
cDPoTJ9Lf6rdjmGDQG9f0PWm2q4YFGVrU+6Fuuhsg6kCHO2LwWKqCzcmifbavlhcTHXjYqog46wy
VvFUVY5FUB0FasjGOWqNa9Ai/uR9GsFrFpm0TiX5xSAzOvOwyyr8ep5Klw8P+3GmqRRwqXJspVsX
C8XWzhxY7Wc4KH1IoGp3gfs82iRTOTzZV8ZrjTl21u0r5k7ZOZBHKKM3U0Fd6/tqE5RZlxwqciq7
Z7QhT6uRxSLCEMu+tfYl+nFfrteHXCGfiQUiBfPKdhfGVNsvGeuYwQbrsnA6PV4YDavEI62EHYfq
yvXgTE+dAqLcvDNUv+E22DcSaJ0MCH6GHj751GmQtmbfuJgVNyQu0ogw89a+lbawLhjsSDnOSjW8
5wVWj4yhA+qQ7dsZU2PDmVocAEVoPHGeOri2wj3RaQk8wfPKagI2AwcnH+vNYwzwtE7SfRvFdGpJ
NM3UXTH2jZYsLYycUXPQlEUjyUmcBXQN2L6r1A3ndRBghWkkccHQ5C2deoip7IiTlVc5cG5A86zZ
FwUFhvPRSZt74djQMMp2yE8b0EIl6Rz1XMYKS5zBbNVzV9rpvUx6dmghxZfsXOahalD3KlNrYYUm
vRlSlHz6Y22PKVYlmdNY9YWGWUfwKK/8VvfufDivhAQ7Pg4aKHmoGbIGS+iJkppEYhT5xDmwR+1O
SsUMlrUN2tAbug54lR5EyK7dbLjIMFE2R2YszCeJWVAsizKrhiNfrZ0p0hzGDkkZPBzntWGy5UhT
MvWgcmgjkx7BXsxVwyXvDBGBxDP1CCdH1hqM/us6bFdVk+XrHrfUHcOSdWkLpoMo9r113g41ErNE
JqymxrtuDByFtl3UE+mBBXVehWoKvwcpsv3/rEQySYVwCE1Wj8N9leKieayGy0e8w7V81cBMv92K
KK+vxV/7ox8f6KU+8ocQU31S7Lzx8+1Pan/GPzpGuqujunl4pPxiHjiaauomy9H9D8KdVOTBy68d
+2DClEJxnizt/KBr5vO+uEffuws/vsDn2/njv3lzAajk8nr6Gog8zN/UjyYjwZ+5BV8d4bdboBPs
Y+l4ZCam+ZfX7k2mREdFt/P51vxbrn33QND55GKuok/1l9c+WYX+5NV/dYwvrt4+oJJlMPy5z1eJ
POzLm2AcTAZKGAMvDwA8g7/XTUDTNnlTEdT/mafg+/fBPSA+ifwkGyr99PPVi+AcaJplwszTnl8E
CoN/r/uA01V/PqnfBrB/eTTwDuARqxN/+Js3gdFABUHHy/L88/d7GHhQ3zsk6sYBkVyaQ9XrmzfB
pdhMbqthvDwJ/64h8atH+beSuuOptEt5j9/3QugHtoeDGtnmN2+DdmB5WFp4K/6mLwT5EvbzA/qO
F0I7UOlQqJQm3w6LLnJbZ8K5PD9t//sT4ne/fQO/Jyf7vu/eJpsOx7PGle9/3g6GSIrppDBpvk4K
/8Ir8Cfu1OdVFqqd9GG/vooe5beWYd/7g9eFxe9//7Ko2HeeWDm8+cNpufX82c/v0vTf/3xzn/cL
ny9++boQ2n/Oy//+coG//+g3n/V6Va//uIoeq131iXSO/Zrz5TTPdhlrNNzEIXEt22r38CjfysAJ
+3hdEHxzsfj5Kfjh8anZ7D4BRPrWRwC0/xkfIeUuez3T6ebr2mTd++1W/uM/3tzoL57fH505HLRd
9XqY6bCGpzPuvfewq101fI39N6yJ0f/uI0fZd+808B6DVcx7P+Jkh/r8l//cZcV//bLeSdQ1b+4Q
S/lpEf/eT1nvqpw9ULJ7PdRzL3e/IXn3sXkV0q8ObHrwH9574M0ukeHuoXt8LF4Ptj9th1XD6z/8
9dfodPcQDt9+TZ9XJe89/fOHiNN/PdH9W4SZ9Cd8mdvmofkUPtKXeHNw29AY99971tsmj3e/vh5n
f9akk/6Es77cxTtZoyd4c+znLdF7T/oqSpLozYBlsA/8CSPW9S6L0l/Odg/Nl2f9slR571nf1DVh
Xt+YJ17WBO89/t2jrH+ZPZKJkr45+2kR+PoP73l/GMwZsOq3Obwv+5r3nvuyiTn6m+3z53Xyu48t
3ryV03HRGb3/jjDxfyYynUWfxK98u8eSUJoH+Xrw6X2iPqNpUyHgvdfx3z9aCLDPZin8UwbKaBTV
2+XAdHBH937CDEv0afH9JOf94uqvP6Lfxr283vj9XDJdCIiW13/76591RjLf9FW/Hunl6NQ6JtHR
e7/q06np07xdGTzzL3/CIPdHeM33fguPaRi93oLfbstUAnrvbfkutOelyvQT5sP5pICLfmfofK5i
/YTn5s9YRt/5Beznmd13pXw/YS31h1LBd17BH0Z7vfP4m90D9+f1edwP0ibiNBIv2VfbE6cJecrr
r//6GPHt8eiv4Kd+eL3f2tJ+bgL8fqP7Wtz/1v/2dhc//cWn9HFX/fN/AAAA//8=</cx:binary>
              </cx:geoCache>
            </cx:geography>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plotArea>
      <cx:plotAreaRegion>
        <cx:series layoutId="treemap" uniqueId="{379254B9-AF5A-4F21-9D63-357E4CDD7283}">
          <cx:tx>
            <cx:txData>
              <cx:f>_xlchart.v1.16</cx:f>
              <cx:v>Sum of Sale Price</cx:v>
            </cx:txData>
          </cx:tx>
          <cx:spPr>
            <a:ln>
              <a:noFill/>
            </a:ln>
          </cx:spPr>
          <cx:dataPt idx="0">
            <cx:spPr>
              <a:solidFill>
                <a:srgbClr val="002060"/>
              </a:solidFill>
            </cx:spPr>
          </cx:dataPt>
          <cx:dataPt idx="4">
            <cx:spPr>
              <a:solidFill>
                <a:srgbClr val="00B0F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plotArea>
      <cx:plotAreaRegion>
        <cx:plotSurface>
          <cx:spPr>
            <a:noFill/>
            <a:ln>
              <a:noFill/>
            </a:ln>
          </cx:spPr>
        </cx:plotSurface>
        <cx:series layoutId="regionMap" uniqueId="{C1AA57A5-02B2-4DBC-A342-14E76C146776}">
          <cx:tx>
            <cx:txData>
              <cx:f>_xlchart.v5.13</cx:f>
              <cx:v>Sum of Sale Price</cx:v>
            </cx:txData>
          </cx:tx>
          <cx:dataLabels>
            <cx:visibility seriesName="0" categoryName="1" value="0"/>
            <cx:separator>, </cx:separator>
          </cx:dataLabels>
          <cx:dataId val="0"/>
          <cx:layoutPr>
            <cx:geography cultureLanguage="en-US" cultureRegion="US" attribution="Powered by Bing">
              <cx:geoCache provider="{E9337A44-BEBE-4D9F-B70C-5C5E7DAFC167}">
                <cx:binary>7Htpb9y40u5fGcznKw93kQdnDnAptbu9O46zfhEc26EoSiK1L7/+LWcbp0+WGWNe4A5wgwCJWy2y
WMV66qnF/76d/3Vb3t+0v8xVWXf/up1//zXv+/Cv337rbvP76qY7qOxt6zv/vj+49dVv/v17e3v/
2117M9na/EYQZr/d5jdtfz//+p9/w2rm3p/625ve+vrZcN8uV/fdUPbdD55989EvN3eVrVPb9a29
7fHvv77oe5Dysr25u+/yX3+5r3vbL9dLuP/916+++usvv+0v+F+b/1KCfP1wB+8ScaAI5QJj9PEP
/vWX0tfm02OJDrgQlBNJ1Yc/9PPW5zcVvP6npfog083dXXvfdXC2D//+1+tfHQSeXv76y60f6v5B
iwYU+vuvR/Wdvfn1F9v55OODxD+c4uj8w7F/+1r///n33gegiL1PHploX2s/e/RfFtoOxU17039W
0N9gG3IgFBE4ZuRbtonxAVcxAtPxj7YRn7f+aJs/Ic+3rfLlxT17bI//UfZI78vcflbJ32ANeSAY
pQoJ8U1rxAdgCBZLjr9pjZ9K821bfHptzxLp6T/KEtc3lS1/Ob+5G/4+c2B8gLAA1JLyK8SK5QFD
MSKIx583++gOf06Ib1vh8bt7prgG6PkHgdTJTVvf9DcOQPTvCiGYHcQYMcK+A1PiAItYYQ6+860Q
8qck+rZZHr26Z5WT//uPssrVTXHT9flN/fdZBQI7l4wyKeRHuCJfuwk9kBxhJT4Hdv5564/e8qck
+rZVHr26Z5Wrf1YAObu5y5eb/wXORQ84lTjm/JNpvuZcgGBESiUo/RRJ9jjXnxfr2/bZf3/PSGf/
LNZ1dgPs+6bL+/bvhDR1wDhBknL1zVgPkIakooR9RDS15zx/UqbvmefRgfZts/t/Gta+HQcfx5mv
vvFXUxVyAIkIU5juRXx1QAWNEeDZF2N93PMjlH3KGb4vxrft8Om1ryT+X05Avp+cfEnhUgjemw+5
36P85MdPPxwP0tK9V38U/z/q6uju918ZlgTyii855cMin978qN1v3PVH791DWPv9V8giFSLgSkI9
QF4sAfCm+4cnMaQ4/CH3xFwKhRmCvWrf9jlkpuQAEfhASkqoipmAlzo/PDzC/EBgDlmPoIQIiiX7
kntf+nIxvv6ikU8//1IP1aW3dd/B24hDLAwfv/ggK6zNJGMxppRKARl9DFKE25sryPAfvv9/yLDI
uSfRvFn6QMadsNym89iJXq85e29cr4akr2JF01mNa6ulGZtaY4PwiYriyG5kXEjt6o7719UCqHE+
DujhG3VHbmkDNDa1Kz2KZ4Yq3cbZjHUZmzbXWVSU4RlvrX0VMW7Nc7SwyT9rSF12qS1s7xLP6mnU
bS0ykrJyatu0yIOSul+Fc1qMXWa1qkg1aUUqP+mFZi5OPK/NZd0b/B4Xnm2KWRCVNG5QR41roivi
8oicD24dqxTnE+NBW9y4i6kN0ylqymrUvEQdHKCdjvsecZm23I/ZeVYtsdW1tMhdSUdeF+O64O0U
oXnQTUxskUyZWPRsc9vqdW5ZccpGirukll1eJcTNpk392LEiaUyRXzMZVeKwhRuB0oW08ZpMY2GL
i44itDF2Ji9E09HTCNHFHK6dHMtdJM3kjts5DLkWphNei5ihoJdOlZ2eC8mekR67JQmIDTriPE/7
Qho9BUMu4rLzp7iV+bMZm/Cmw9Etb/u10N3s/JA6VfGNUFPXaz8IqRUr7StYTRya0bSXGY+kP+Jl
mEq91uUqDwUy7MotYjVntcmmLBHlwJSeo452R/WyRvPh5IUvdCYQX89YH7fRsYlxEAmaVhbtWq6K
V61cp2E7BJONZ1k7Lyrh1nYklRPhl/U84ymxMuvqU4l67/Soyr7Wfgx4x3vFqqRbrFNHiLk8nLi5
sk5LQYdxw+up3pFZ9n2KqSd+Y1YC/+9Huiy6o7nNDhfnxvIILb5bNnmlCN7kcRBEMxPm6y7Po3JX
zJS9CyJrXlS5R4kwbXvnuwzPx3DrWKFRlS3tZmz7fk459krnLRqOTNn1RjdrvLYJiuRY6Uhm4rgo
EH0XFB7mXY4HWW3y2XRj2igCFlta44/p1IdR29C6UyiO5c9aG1/GtRMvum6Y66TPmujIDDg/ltMU
I93hKrySdYGvoiHv3q5qESeKu93oSd9oB1uT51k78lz70vbk2rYmFhoj55tkQGF5bmu63lV5tZ6N
HLVTUg4+xxftYOJGz96RaUPqNYy7FZnqTBWq7Xcz865JUTFWb/pobS5UEaMmbVVYQpoh5XwSccqu
myUPTCNSiUbLSNJ+41zNT1lf5zwNZrGxLpbI4JOBAibozlTsrA14YOmU+6XUtKjs2155Mm/ihcFt
xyZaExwWIlPf5JFmEmUvo7XMtms8uqSafX1XhmjQZZvbQ5Ox+ZUawe2arpDxFjdt9WYpDfhNUF1/
YTxvE8Yqf1KjcrzujChyXS4lYEGp5mPLGL1sFZ9bzRQtdsPoq01tcVnpAo2k2jWoYS9w5bqTbpnM
W+5IrjZr35fZMzfbeNIxzcdsq5ZmOhyIyd/NIWoWXeSSjHpFeIDrUTbXViB6NK8xs5qVtY90Liaq
WRaL8i7wvD2m7apoks1yfTlgU982ox/V4VjS2WxziDghrVxskricxg0bzXSeNz46yhihhR6NL6fn
YbJZm+R8mVmal/XYJa2qGnwsSBaORxHKYTsvFBPdrSgUqaNMuGTN4K4mHDXdq7FY4ot6JD5RsY3e
YpPF9QtZdBFKpxkcRSunUJpFnvM0hjAob6tooboE0N/ydoLrmb9abYTe9UOJN5L4YsOsaw/VkDdp
3kkRAYRXNPXYwpbM2GYnWMfBRxVVAPvO9MfNsqj62s8DZQlmYd2MrMmuqiVC12ZxoFFBpnjc1Bzb
aVOyoniGhixmekBkzLWMOYtO2EqKGzFmftwZiwZ3xmi2JtIA5CQFptUmEIuEXod2uMysM9dYAsyl
o5lxD3hhlU8xb+AmKl5HhZ6Mml6oZW1WwCtsM92B5u1mDUw8K+cmIkm51FWT2KEOIRXLCIIQnocr
25AIAsAa+zzJgxVNkkfAII6sJKwEVVixqQHNVIJjO5+43qIdXOY1OhpqbI7m2QebjMAPuh2JbJsd
9g1Xu7os7J2YVfOqHlr/LBp7W+m5seutY1HZah9zwiE+DNKnsEVfJeNQrEe4Zs7tOl6qQVu7NEtS
iZUwLeWDEmoyaDS5qrjs3LoAQWgpvZHNCoFO1nW4XrzszjwKE0uFm12nmQNoVQOk3XqMTXU+C2+v
qMzHl9Pi1bFbjKKHKIrWq6JCctJGDt145tS6XI8rkm06FQ7CkXFtE3azGOR9PLFlV1GDz7Mp5177
aPKl9qubGl1PZvWpHGOpsZ3z7IItxbzs2FAEdblIMY46muL8LKKteiP4wp8VJDppaGFnHffV1VAp
e4KLtc/TrMZ2SwHk0syM0a6wJdJymN8VoRwTGwAzCeocfcvbSpaJIat81duBvu/CmOmczf7GRSvO
E9+M7gjNk9OAMUYja4rnCyuGpJyGwqRLWxXJOBN7FTV1fIwbqOVtR1oLXRmRp2VZtDpgY2zSZEuu
h9WoUrMmJ0nccKfnOFuPo2bNWo0MEVesjCr3Nse9ORWjmxLh83U3V2hQgHE213mYKE5KEHpbGD9J
LTHpt31uppMonwxLkJj6TR3bJd7gwsbnYxO1t2PJzB2bRP4m75brCENg1aQwzCbx2PpDOweWVrlA
K1CPOBjdAha1wLxWMh6xuhfvmigPaIvrkkTHY1EcYbbwLWkz+YyRtdLcWXxdChrecpx3/pwWzfhe
yLiegBs4Ul2IPm/LNC+mSBxysrqELDJUG4Qnj3eeufmdIUbdTay240ufTbXdCo/9XcMpap9NGYnj
DSlwrI5ZhUx/ahUGNRqjhkWzMQt31JRjA/SG5ONRhkomIDo7sugS+0od1zUdnzdIrmNqXVQ9n1Tn
6ZGfRbVe0ba5Grvg/DFvm3HRVE3LsyWmNUromp/hfrY7y5cOJfnc9ts2h5DVl30Vkpjls09Ik4Gb
ABHvL+3a5keVNPK4LiK7y9RELxBj+aSrfvKbfp6HJPOh3ChUGojlwEHuWkbnF7yO880QTySNvSHA
or18GUV1tuhpQbI/knUp6pul7lXYAtCq68UW7G4YGxq0YW19MaiueTnMpUgKukz4mLqlPO2Ij8uk
bAx+RRDDLwVwtfOu52arytGw1FetqLa8EqzcIDJTPS8hNAl1gd1CgCxTCFnSJZGM6Ks+625I22R5
Mo9luWpDXHgfXNO8wpaHSGOVx1HCswEIR2SX+mVjBnM9eScDcDeZawR88fnUlDOXcJMb8nqdWJOo
Zi2n255VtWYRAzTO7GYGTn6D51Ukw5I/LxzBRxGhgPz9zKk6bijUmnZoxeN66nDplkPohA7FufUj
JamaorjQERuo3ZHQifUQ/lfFgHnxmCcI19Ic2mYIh13c0PlkWGV/3TVdzRNLDHluC4dtShiE8nxx
4apdOnMFd3/dreNKsHYSwnxar8NwaaVliepoOEFlRw9JBKzAluyeCUG6JNQtBd4oC37UFd2Sv6qa
kI+JIiHLdRVaYIQrRfgs0Ga4ZNOcRlUR9DwMdtOIfD5GlfIbikSXjN341g2TbQ6HbnVZkpdxqzTN
OT9vZtVfTVG2bg0h9nUA3R7V9dy6hIra+Z2NVCRSVzFrN0jk1CVsjKI3eS+G6LiIQq30QKv4xURH
gdK6YJgmVTv6W1TKeNYZBNpzwx6SMx93zkP0VvNzu8xZeeitKsCEfH1DbT69JSCFSIspRziRoO+Q
Mhq6LaPt/LYhpkeQjjl2YXOKroHgAsIW6whkfWjz44z6+b7KmuVQLHF51OJstbtReXYGSYPMjpsi
kHeFDzQtMaQzKZCMNU7yVQ1tsrp5fjuTJQua1FDQBytmm6psbEgUWKzXsaOu2IAz40ZPqxvfgfuK
086VfdA5RhDdR1abXZbnZUjHvDycUBNTvWS8uiAIyNAma5DFx53KM3EIGTGiqbFRAVkVpDcigSR3
3SrmyFveQwBL1n6A/JUZxIxehlI4SJSUWF60WYfZLuqpKg5tV+d3Y9PyozEf8JtqrmXa5bzduQAw
vxLaWs0XAVjjer9p696lFZem0KSCND1Z5qHwuiKie8uiJrsw8ci3Arf5y9bKUqZmCbk7zIpSPFvb
3nfHjScZSjuViUxnphYbWc2q0MNkCiCUxACv4Xk9X8ggVZ6Y3qo7q6h8TjvzIleqLTUvhNK+9hVc
3TU+pLFFW+mQPF46PGnJmvoozDZcxmOD0tAK0W4gNpflZrFDd9VmE9a0HeIltbXtbos+F/2hIqpv
d3Fflw8pe38X+nW8mNvCYzgbip3m3hgI0vOCblg/obQEO7xnjq1XYw4BHtioOGVDLp4VwTBd5dl0
5sf1xMSK97rkPixJU407x8RtNwDhccLE2pJ6OplyyJJIg7ZdUQLjHQV9ta75HVy3GXRsuR6EvStH
Wx11Ga3S0krQdwEMecbinFVROK54BwKNPlxKCMOHtm/NW+AUldcAfuI5czeIcL6xcI+A6Nc0tQuv
N5h5fuRqFJ5noUfbVo5tAsCZet/RLbZ1fDeUEd5lqGVHNLjdWktitBhckYY51IdF1dLnLcbLSbxK
9E61rD4RI5luhjZkKctcVR2qfkHzrnRemA2A5HS7DmKYdO1wk3QZl8e9a4B0NQTOnoxT1NxwJ+Sy
WUXDT5eBtjs/A6d3UKHcFkWYdiFbIN0fg7ucJF3OBWe81Xwql9NpHoEVyqlf75eicwUUjOqQcFbJ
6wWmME4XEopEdDWDnLiUyRQcSgkw+fsymttt2zcfgsnrRnUD1qvnw1knAER7UfgiCZTzbFt5ZXY9
XrZNKd227vNZYxqg+OFE6F8A3W2gQLF0IZk/5BxzMGnTcfde0lwd8davV9NSrG9wacRV7Zdh1igv
uqQhbOl0jQacWA5wCZWbLffl0URM2OYlFheDYxgONMsoIdzXQHaiih3SwWeJiXt+OpaQnw4xa15P
LTqJ8VI7DS1cflUq1u+aqp2flYhB4QjllUxc7V43JUWvM1SFtBza9nyiE96weiGHgT+Uz7opDTXD
CTAafpk3XGx4bO1xQEQ3dBl2dI7PJdC8hDUxO1k4wUCk1JoSTptNTXoOOfJoT9vORJsRgvGhUAjo
nTDVKQBVsQGXka/qqAlWm7ZpkpoSqwk210sZq3Fr0ThfCzF3h1Pne7gfauAX0sRSaFOI5Wwqo2kD
iLtoT+vycOlNc7yuJpCTGReh30A17WjJ8u5NVEh0zUXTR5CrrN2LdVTA9oyjr5q5QNu4cgisuqJd
EGD/tjb9Ju7Kwhw38wQ0ZMqndOScA89ZXfxurssbEcFBZo+hXtCv1f24xNkW8MFfNes0AR3KovOS
NnLDsulVX0BgHXBVp6bMg9/ymY9JUc5XuS/j88CzCuse0oFeqxzSG51N3J4g19ZHMWrlPerpZZQB
7e7maAVCli2Xgi1iM0f9kuCujPRD4aSYI7/N56I/EvMKtanFr+KlIBV/w12UoC6HSGIGexI3fdgu
kG9sogWI7Xk28+Xdakv6wrkZvZ/aIYJ8QPHLYbXbQvC1Pw/R4qazfAw5cOoo31VredtwTLpNRLt5
B9R7eZ/Lorp0HSe7ZhybTYuqfnmGXKbZsNSHo+xxppely4FJrdwQoMNx1CSusOuUSEhaniFa0UXz
GkPQ048Hkb4qRt8CgLbW5J9mwb78+J9rX8HfD5NJf3z4MEr2x09nn2fQfvit7b1/qMl3+196aCt8
WeuPGaiHUv6Xgai95sDHqbXvdA5++PDPtRUwwoRAVfZHnYWvJmYe6vR/vPSxrRDHBzBTwDEXULWn
D/9+aSuIA4kZzBvEGKbbJHloOHxuK8gDKWNo7An8od9AoHf3qa1AHkZHoNcAIz4UehLQbPorbYWH
JuBXTQUkSUwUY1hQxpmScNjHTQVb81CBeM3Wtvm66GZq+usBylOv87EfL+g8XQ9RG13VtO+czsH9
TqBzYDSH7NelfCrKN5Vrx5sWSipHmVPDBpIanqzA4zRmfQ/k2fJns0DgrCtkyl0xhUtjq/K+EOLd
NHQinVYVbZoC+JDwzF8GNWXXwC491N1w94p6Vt14KVwakWXUXebc5eL5lfPleFJiKJ7NVEwvaSHQ
BhVrpk2uhlQBx3ruvXo9RwUUoibjIVY280ZE0bRFQKb1DNw67brQ6mFpnqOK5pu8m72moVdXYY5c
Ogx985xVLNp0pqg2ZuqIlm3PdzZzzbZHanpFlpnvOpKV71UW6tORQvlQigrqqEvXvxugm3BdDASS
+iwTo2aCqhT6DLFNi2qOsG5Eht+6Il8SwfiwQY1UpxOepyUh6+ChYN7081taFTboUnGoPDZsRG88
JMwaZWEqoMODW6+hbHzG+7HgeomdfCmjsjvJG4DLhEpANr0qD1zh/0PCo2HVr/qpn2dOPng3hjmH
7/cZv+rifvn+RyBQ8QHDGJyaQ2EWZo2E+gwEQh5gQAhwPujkS4LoH0BA+cGHARgElU+qGH949AkI
xEEsEHwoY8AoLJT6S0DAvsKBiEA/kcVQd9nz/y6bM+8s5N45ThW/6EaYjvly/k+h43Hf8tvrEgWH
fYwrithRdOUcb3oOqKHXdVle5UTMH2dkP47I/oXlodn+ePkijtwyzXW8ydumba8mASXBazOv/v2P
xX/oqf7Rc/2sFqJgTO/x+qpanRxcJjaK8G59FnClkM5pwbFG0B6FzhNt+uzwx5t9T1cPQjxq7HYC
iWJ6SOHmjkqqJaIGCsGLkG9/vP6D0N86zEMMeLR+rBroF0DHaTPgwM4wnhgUy1CBgMzLvp63UbyK
VldLE65+vOH3DvTw+aMNg0RhjB82HEsVz8c+H7IhYd0A7OXHGzzcom+dCJzy8QYSWA/qB8o3k+vi
6VhAO5kkwXUkP+UuL8gZHtzgoKPU1AuUiUqGm0NU52MLoys/ut34wT2+JcBDr/7xCeOqc7xb+GYw
0GVPILhvY4qhdkYbqCk3ZoJO4rDE0amfDHabgXgvax0ZSSqYmv2RCN/TMQDDYwlKs1RjySdQgSQ8
oa1/H/PJ/uR831t8DxU8eOokl55vgHLGr5FfvM6gD3HxJNHlHjaUsrCioy3fOGrtPYLfazitI+uG
5GnL72EDdB54aKCStin7eHyJp4bpOVvjpyGP3EOGtpyKEEjDN72P1nWD5mhsUxG8j58o/h4akNlg
uZQFoIGHDkmyQP7GdNOAK6VP088eHBDo5ta+C9EWcudYXHYW5tZeVn0fvX/a+nve30k0QI2Ny+3q
cbVZDIuAblnXtT9R0NfU9Qs2yz3nV96xcoDq4NZHcq0OpxaHcVNOC9R4G5sz9cRt9lycMp/JKUTx
tu8H0u9q4Wu0WWtczptg+2l+mqs9JAGP/bjxY5PRuZLbQNx67dolv6hjoa5/bIvv6WrPkSeodeAJ
aAdUOma7Kbs2pqeGLb555bh0809U9R24iPccOpcmOBkHuW1LthxF1YouFFDTT3noXw328b5DZ3ZB
oByxHeKGQLGnmNkbsfrwk2DyPen3PHoYYx9L+IWK7ViCBfrSVBs2RHH4SJn/svR7/jxYWi/lUsgt
60YHNoAprkh3aLHrEzfY82enIt6oGbSvcPVQs8UwULNpi3idLn98ib6noIfPHwW7mCwURpBmsVVQ
f3gZy667nK2BIYkfL/+giG/E0njPnys1TryAQZZtVXYwLBBXVTO8pM2q0HEf5Sp+BrN0VBz9eLPv
nWXPq2NojcMIII+3gbLe7vqVzjAK5KoJPc2f4z1/nqE5L3qYEdu6zgR21FVklLoYWPuz2Pxw67+l
rj2XXkxhUDXBfYLWc4A5O0Pj+LKK1lEcmz6r3GY2ZKlfl5Wkb4faTPVPNPc9zvOQvzy+BuUMAyV+
nQB3S1mG4zzqshiYvVNA62Q/FazXdQ8doMTmIlSHbl5NnAo2Uf98RNCdepqCxR4aLJmIYukiKCPH
0ZBSO8VbGZf0J5cRP9jpG+oVe2jAR2gNN6RRW4rW1m9WnI39hmfrWu6CovFyYbrKvw8Rm6odW2XN
z2dKSX1GYimL19Ce5vwnonznqoo94IBpMR78ZNk2xFlHE7Gq+zDP0I56kieIPdgoWyrwMhfxto3C
tDU9hqEWQ6W5e9rye6Ax4FbIAqYRtjB5JN9wCKXnHYqqp2G22MOMhhpoxkex2vISMplkwLJa9WCh
s/uTW/YdLxN7ONHZBqrxcyu3/QKDCkeStS2C0TAMHpeTHEE9yQ6h0mQVwdyGau3IE82yhx90qqEp
QlqxFTKrBh0a0lXQdGTRE8OF2MOPFUrwzSDaeDNADXoD804mXYWP0ieZne+BhMgUqotmXrfdYPrt
WkPfXrSh+AkGfccl+J7vw4hyHs0QGrYFsTCn2+MihUYWedqlevjdvMcAB1mPl9j6dUsgb4SeEn5V
wxzG0+z6UAZ+vDgW0AiaSwNd/Xjpz6Coj4ALNDkunrj+njvnxdAH2i7rNsoqdUTG2aUZlWz7NLPu
eTMNIw+9g9X7jLBkonGnuwrbJ8pOv9aNrGFOa4zBrFFP8sTBULAWDmZDnib7nisXKGrRlHXrtsG2
POxUbWAsj62HP179Qb/fiBd8z1/rjOfriqGsPEX8HtJONx6y3oV6208wjfbjPb537fdclo7xWBcu
m7YUHPdK9TCZCV1n97R0nO25bF8DFZpWMW094+JIKj6kxVI/EW7YnsviviozuRbD1nQlO7FlFZ+F
uXyi6HseC4Ea+gGY9tvGFxlOWg5DOnE+u/xpaMb2nJZnpoN5QSjzhNrOx66HIbUhy8qnORXbc1mo
j0YjHor+EMa4p+45nZAsL3grRf60e8P2vBamnsbGjDCYPZthTdz/cPZlS3Kj0LZfpAgEEpJepcxU
za6yy1O/KGx3twZAAwhNX39W9r03wsVxt+Py2gNJITZs9l7DGH/dM3QTvTZl5ARt3AUiStNqOU+y
ARLEWPS0M7R9/EZ3gpaNXUSrLl2w8sFXTZHf9dlWeX5WJ2bFeOggMPz/Tj2iE83jhftO3Y3WOK1s
2oTLOVtRNKbX0YGx8hydOdEqyDJW0mD0rQOux6bC5sCmdX7LfiWx/XxLNVGcDqCtY/SI/jW1kbzU
be1Z2WJOtILzIdO2xuDZYVUJhILGy4tvfrkBc2J1m0FPkLsAn2Su1nwLF5qHYzX7XVHMiVXVjLQf
GEF/czn6fG3av4BTCT1X3YlTA0TXODSrPSvRRDmagV+DBd1Gr0hiTpySKtZsbwIgMibSn8zWfjP2
MJ6D07f7ZTLZ1iETtmdgyQDlAB47t5omnqM7cZqwLgAsL8PUMxs+GrRHnqukln4tKubE6WYjoAsx
cnmgi2pAlUp5fArmIDV+e4Y6oUqB5FSA6SzlDiiszgM2xuW40vmH14elTqyCykD1sCncrJWRd1ln
whPwWvvZb3QnWK2uRlbvsS3njP0RdvTFROzFb2g3Us3eqX0P5rJtgiccj193mnjWCq/AiZ8PsKwF
TjXsk7kEbDU92SZ+HUQ1eH5QJ057YQKdpdaWQTu3heyShwSAQ7/NTp04RVt4HQ2gaUBQbH+2O+Dd
sbr3W3AnStN2rQPc13uJYUEaPKhpOJiIrPY7eqkTp0sd20ZEwNGDiU6+RMD6tblpj9Av06BOoNpJ
UiKrwQJipo/TsCXfm3as/JY9dIK0StspWVpty3jXYNUoQOmM+F3n9boxfvE4CJ0QzXoetWOg5hJs
4uwxNXX4KINq/Oz1WUMnROlMZw3yIbZjA/w5U+uXJG39PmnoxOgRDVlXNcKWOl5YHqbbVzmlz37z
dmI0WqNtbRnGDjrzCnzbYxyZR7+hnQgd1qqqZwb4IamCoAi66qE9iGd94AoF+flsCcNxTI6ABmdO
snegGH9N9S79jpbQCdGgQZ6uB6yJbPqXAejjSjV+J/k/lc6fyvfRuO5sQwH/PBzLjV7pfRT73aD/
VIp/Gnnc45kPI952XNUP6bCVva782qzECctWzltjLSY9KqBNbdEln7x2CHFCUmadHg+Bjxg14rve
spf04H7nFHHi0YJTtu0rIP676cLXY59p2VlmTn4TdyKS9YCcd202lyYAlID24iarsi9+YzsRKWRr
YsgnBWcQHwBTIPwbyLSeFxtxYhIbe5okwZXctHzLYxMFJ2AiF7/AIU5QpmZJ5iheACHkHzRYhqhi
+62JE5FN3Uxg9O1zaa+08JWZMQ8n/uo3uHNjruh37XtfmXPYjDerRG8fdMfZc6c496W2lohAYvBU
xs/Mjj/aaNdeqwLtn7dnICBq+xWnaM5asecYY2928R3bCc1wbRPGQOItwZYhDxbkmLsp2rjXqoQu
pKsx0SKRz2KjxAfYw6T7KHnjlWBBsOrtqmyZjVaRIfI3ts9dQaKKDyeKDKj1OlqAFnz7A+Oqogq9
mrkEc+tbsC6f0Xz46LMVw8wJz4WBjMkZ1sXaOj5NVrTgPdLEK48IMyc8dbMkqEdvmPi2PduB3G3L
5BehQCm/XZROJSRKGmbAWmKPEoBDKJwk1HPFnQi1tQbm0i5zSUb5Amp20enGK0kJMzc+46Dfa6ZM
SWlMi1WFIAxF3d9en9MFV+3oKJhUzQZoBv61NlBISOIPfkM78QmibCVSGuhyD+WayyGZLj0Ijl5p
SugCq4Z47bMFWKESLaQDbMzhKWHmdxiD62b+34l4mDoBakdqRBOuuhyAtZG5sTq4Dxayv/dbGSc8
14DhVIwsvuiy/2mQwW0m/e43tBOeMy6eZuSDKcF0e7+N4y1Rym8fukCqpUoF72Sky2OZmvOy1vQU
yP6H37yd4GyPqDIaWgNl1oyFiPYnlf4u7byu6q8+phOaa4B68DImumzUEltIFfHuceIQuFg7iCQV
fvN3gjQW/Qa2baxL2bI/ZBN9Dkbx6jW0C5fagHiUPKk04n8xN4vRYR4ukV+rLnTRUjVt4lYziolH
4We1BFcS9vjJb+ZOhtts0yg0aUwZ0zZazwezewSdJdmIk98POHEaNTWkJlKJLbkFL62CEM7k9xaH
sOHb2wI8lAkPZgxd7dnLTNp3FeNebShIITtDp3uloDKgS1YpWkLLZ34J67X1QvqCQfB2dJosJF7A
aCwrAobOrqeSRZ7otDBxwlRtVTBvptFlv4wkJ0tymdbarzoculioWUcWOlNYchyP98tO72W8ecaQ
E57ZWkvbTbUuE5Cf8+TY7zPIMOVeu9BFOmXYJWSjQpfhsDyzcHrQZPabt4te0i26ExwE3dLw9HMb
6hcpJq9HHORs3+6TaouUqMdOlxwrk2cAoefTDp6q35o4kTlD/SPohmxC36aZCk3Fiw2yj35jO6FJ
CN5ZfUymsm5Bd8pXFCrOlgTcc2Gc8Oy6DKi0bkfcZLsqUsv5e9mSw/OLOuEJ3hWvgLWbyiPTFHzS
6Ak3qV/3PHRhSDbo0yHeBmyXIYuIwFm7CwOhpGwRXjUciFW/3TXAApOs3nqsfd2sCRjEgO1UVTT5
9RFCF260C2tTraqxTAMjJpDTR/W3zZLV89HoAo5CyApEaxaM0HDZzQnyPCB4Q3fh4rUzXcBRkmxb
ShYyllB9oJDhAYgdSiWe56MLOJolEHiG9WNpoqSe8/Cg4pvYt772O8dczNHWaq7XDWszNBCXgJjU
R6gA+N15sROzkg6rChKLde/T8QZKOiCZy6G58Vt3J2QXBvG/Ua4jqJPx8ZkMVX0DVftReC6ME7MM
52RMd3zWrK8mc0mghBXlcTVAAs9v/vRtVKEZJ4Z+XLDyzKy3Wqcfm0n61eZDF3KUCEWBMdZjmUTz
h7Y2L6uYP/jN27lW62pfmYSMUZn02R/9AImPBgJ7foviAo0mlMzTwKqxZLpL/0jQVLixAmIeXlN3
gUYzCbb9YPFQIlKznAP6kgd7kJz9RncuV70H6NFDf6SMl93mcTjeif53KKbkurq/eNC4MKOp3QCv
g+BeuXBRg/Kv+g6HDVTlIGKhslrcqHFfP1hl5C0zLOCQBoOYxCsobsn0HGWx0R+yRPEbgb7kcNOJ
HkpZiYTm3FO9TSlZ8yPqJv1xhaCdLcg+9eLbANFMyGwgsaRQy0Ot/ZyMdrNQ40GVrODoUm+3dgrS
rqTJ1kS31dCBlxwSVBO+BED27hdwr01yYsmGMVeIVh6XesoaA7Yd2MsXRel2nMyiWP/HlkRR9TxH
POi+G0jzTWV6UMhT6A1/7wkSMfEZWo1xWvQJDUUBwaDa3tThUGcPPO3BCyPTQT/QNFshbMP17dga
fZRkyNL9siq5RKdFR3V8XiBChxK2bJaoqOUI3RayZNlepLplSa6GVof3a1912a1k4RyV0KaF9EbM
xHJ7HIF60v1ColNEluXIu0pXxwcJXdrELwtx0V5qiywXlg0lj5sBVZ8gpzWUVvy2p3NesqjakUhK
6Jxw9VcViQ9V0nrO2zkrF3RiNkkx79hWJdRr76o49CsORs4pGS9ApoSoIJXgD0OZKsggxwdtN881
cTIbTWrGBZp20NGCJNImpr95p/2SvqtGxM+twA701qVPyFDa3Y5PYIO1NwObld9R5mK8Gg7Zyx5S
UGWtRfQQIX8F8t/OX732iovx0qpelmVchlKktf2koROJYn6fzn7L7qK8pr6dQRPJhjJDUTmPaffQ
HLUf0yx0QV4EIRxHKTRg9mGs1Gkga1du0PLyfOW4MK8QyrFHwLAjIbETb2dqenvkSRBDSNdv8Z1A
ndW0VkEzDyUaVX+vY3QXB8aP0RG6SK/RrnqZ9gQyNiQDjmw2ySYLaJPRv/3m7oTrEk8HWywdSzll
R5onw8TQY08p9cNihFexg5+jah17GRJI1YJ7E0ITNlm7c9u2ngmCi/cak7XqjhpXOHo0GpJMIS/G
YCWl1+K4YK+VgCodt/0AVq2Ud5wt0Cvjk+Z++P7QRXuZrq8BZBpwDPc2uWt6Rv7Am3b3KwVTJ71J
NjUdyiBfRSlrgypxZcuEzInfpr9q9f/8XSmTNmuvt1PXqrow61TndlbK78BxIV+hDjdIbqdDGew9
+6sB2vyvQ1nlh/wMqROxMWV913RiLGOeLMGtyPqwINW6xr/pHf4Lry50gV/gtkIeRqZ9eUDPRr+O
ol2GAtrNdDxBtit4BeHsKQgy2Z2QxUFuGPqokl8aaMYPnl/fCWyQgjmxHfLPdZ+atIBqZQ09iKYf
pd8z2gWIQRjpwJvlejJVELK6V5DbTUqoGM+k8Is+5z4+iNWg19K+hF8NxLu2tVujvBPR4plguTAx
bg6le4of2C0FbPmwn4He/+E1eRclBtnZHd4NR1+OujfFVrO/jzn2nbgT2fV0hMaIRJXIbS+SijtK
jV8JwMWIqSAg9QoFkXKOIFYuggithvV477coTn1hbqSuw3XpS6jPpmfbQDNRxa3nVRk6Qb0mMHLs
8UUhe7UF31W3sh86wHXjN3cnZTZd1MMQI1Qlcq2nBPKVkOv9jZbLdYK/eCq6OLF6Q5+R66EvzUab
u1DqNIcp5ep3iblQsVXwNl0EUyUTKQS4ujSd7prE9o1fmLqAsSjbBojYElUmcQ9p9SyFkGe4+90D
LmRMj31dV1nbQ7m1WR+MVlGRzN3y8t/f9LrvfrHwLm4sW8W+rCHud3lEE1J+YursLEk4DBCNZUPv
l2O5GLJ05xVcMeqhJJZd1WzjGcqWIiAQtf/vv+NfNtDVy+bnu1gFrZmWrMXejOkHO5P3dVj5bXvi
hCyULOaUwBwDlF9YDLTQUIdIf9h7fl4nZHtsxkAAFXgOE129X/Zg/ACHCj82E3T13i6LbPvQEmrk
9QxOX0bF4nJuYSjjt+jOBTuiukAq1Us0w1GVGKb0JYB/gufCOFmz3ed+t3srgRCAhFMB8uH09ZDZ
sHiO79ytEKSpoGyrZXno5DtqR48qaT77rAtx0WSQs0O3GgxBkFaHqssnY5e/Vjb5SW+QLH37UVs8
3/qmui77mFYoOJr0VnEo7flN3rlZB9rZ7dCYfFU3KDuFFKLoYvO7oYgLKcv4keyxQf0tXOdwP/Ut
8AhF1/fd4lV8IS6kLF1WaBZ2jSzDhu+ntCbkeQCf773f4jjRuvMWFa51Ck51WG/DXUdC8kTpGNvf
zP6fF/n/Po+JCyyDCy7dOLfYOtxC1nsKw97etGKZ9AUPMUsvcRZxc5piuQ0PwY5XwcOYdJP6SkMW
XSynx20SBXucZ0dloa6wB0K8U3280UJN094WR91Ux/ehgtr1pR9x5xY27rYfTEXR/TJ2893eNsuF
VdBWzA5oYEANX7XR8dqE4Le8iKtOxWvfpqM54cEWHfi3UNFvCJCfT90IwfIT/mvTPjIKoxOvRJK4
gDjgGuHJBULyua7C7gkavdkDhQK+3wVLMuegGQIRD6iOipJu5C9Op5csrJ/9totzxuCtuauArwLe
HsDZShrd0sH8TkjjerX9Yqu4kDhrA1UfsM4qpxFaHbfawJ7glEFMFz4meCHUtxBzl41Xde0f49+f
79dwymIeLbEogzHg50is8nKMsv7otU4uSK7ZK4s3IhPlMkTNCSYBEEeGX8x/D369p3+1Tk5qEJK6
tUJbUcIerP0AVHX0DuLU27etC4PfVDb/7Seu//wnxgCpsqSm4yTOZmOCn5p50lObLxrF9tsW/kf0
N4/qf/vkzvEDeEJtFy5ruLPNQlzsVY177QJ5btWR0gKIbr+qEtw43/5FdYPaSaUlFq2nAYBu/DMO
Is8LLKVvBw8gOIJCQC/KEO24mUFGnYW/OaD/7Us4wZzAgC89wME9iXpK5lu40sWXIc3Q9+f1IokX
uoC48sIxxuZtmwSQ6YCQILju9ZcMDny/2bDXr/mLDesC6cyeTTBD0l2ZJPF8AeY6zasG7j7/HQ7/
NrqTPSwtSpEMFm5lG6XRZVx2dUqz1usdRxIneSB8DKVMZHUKl/aOVLASG7jfmrs+kTuDdckAf7PT
cUTnKpsuqqVe70OI0r7dj3AQHFqTieokWnqfxDBp4n5VPOJi6AArxCLxtjqN3TrddcbMJezpPvh9
SidIqzhplp0F2Oxhbc7jqKN8z2R08RvdiVJY6ekqJkFbJq0Z74F6/TzVu584LHExdDVP6mChti3l
TuXFZnN/A+tLPygqLOnfftBg39BPUbot266bTmOTPgSJNmevdXFhdHAGmKxhQ3aaYVazXShdP8Iv
UfgVFeFX93buzZDNk4z67NQv05OQQ9npwe8Sd6F0e7NttaqRSMnZwkjUwjbqkPFvTt5/OVdcXa8F
6PwDDD8EkVkGqHPrYuRQFPZbcydCD4j0mGUeW7CW1F709ThMeaX7zA+QRrhzsWZqB+dCxBmIVsMB
QXRZ6fthE60fDxIa928/quV91cPEKTup9UDP9gUogN+szD+1vV/cFi6WLuIHqBh93ZThHrDlnrQq
BsGohnDoK5SShrKNs4PlybRc3VVRXVuLaRbxAjnOke+XyWZkgmtgWNNvKonpUlYpaxOvCjxxUXhb
MIXQ3ZivzyU917ctI6mFIL0w/clvXziB3rftzNOwSU6bbjgOqL2zPbwmech+eP2Ai8PTs7Awfxrt
Gcak41mlEaxPssir0gwj37e7AilbzEam7Dm86n6t8dX/MEq88NXQfnw7+JgskalmDL5YaDdLE00w
YaV+GD/iYvCixoINb3t7dbobYcMGAxpUJL77LboT7TBig5M1q+bzQhsF99YABC7YN/vda7ET6zWw
piQKYAg7AFmTD0LXTzJh8ye/uTuRHq3jyEJYypyDDF2PSBw1nJViz4Whb79pq9cQzlZyPkOjkj73
ahPfYYSY+KVBLgDviBvYZNjFnPueywLK1VCEgRXsbw6qf7kfYidUZTazg6WxObfJpi9xNUNfPIAT
jNeyuyA8tlJ2SDGbM1tVA8TV/Ap69eY5uBOndp0gmZXs5rwn4QFbY6GLRHjmKpETp7GwPGATVv1Q
kGtZ5/1vov+f183/p0ovcSF4wTGqqZLMnmuwZ2A42MBXkILK6bfoTpzCWTCq2gWJVQLXO6PYB9VQ
P3o1nCffbvUGptDDMEb23BJN8m2EV15VAUb33zO/zvAXl6ar8iVDMVExMHiIVzJenhurWnXZOZX6
EukRt+B//8y/7HkXCVYtrII1F/6ImKbBaaFxXfSb9UOCwRXz7RKNTZXMM8fodd23pxQwsCIb9j/9
pu6Eq+hwHADPqM9wc9uLVk3dyajK7+JzkWDZGJFZxTGMy4VdLgqm1DkEjA+/m89Fgu2KcX7oVZ/n
5pCX0IiPR9jFfp/UxYEdjYqOAbWe85g2SaHk1hWApPrB/okLBOuTPZmTtBrPgQp00R1jD+ue3U+5
CSZLbzdMFUVShx0fz+3Vz+6IlYQBpvFTFSTMiVgb7ig56zq9dF1/vMLMe/vUkf53uvX/EkouCqxi
6xpagJXPsQ7BR7kmHCMNf1cj/LfRnYsVDjcoV+9ZdokClM6X4Mcg+1evQHLRXyKkYQX/jOQCna9K
5ssBdCK8Ac0Xv+GdOA3lwOBQp7NLPKoeANxu480DD2Wf+sWqiwAbTWqRxY/ZJTNh3mX0ThLPTMwF
f0GIa5phvJhdVITr74qH6P0AicRFfsEMoq2aZMoux1X6SKxhVEQNLL+9Ft1FfnVENvOxD7AlFtVN
r8dnwv3UBOG8+TZGSQxQEVMKluaAP3R98AA3vhe/WTsBGkNGqNGsj06UWxWW0SjBu25WZT/6je+k
vv0YTp20Q3KJhnCDhHpkorsrVe93eoLXjOgXlzZ1grQNYPacrrC2VWNgbuZqWdSTSUgN31s1JdVt
rY61eZyP6veP6//jGPWrH3Uu2WSnVb90k7z6qK39VoSylXQ8C4Gok5em2oTMp0HBribv4Y88wOR+
131yO8iRN+qCh3UnVC5h57vfNtUeVN8YWwG76wkgrSJn3Q5nyBxJzjg9CB6m4+Ni4EHLb7cgSiaR
60PWQZsTlrUMZudzMiIRGjg+XR5n01B/G3Wj4EkaiQQesOwQkHs+7XjQJ/B7n5ZVF2Jn3fYBEnLr
Aq9eAYsfyHzv7WZ6OGHbgEd5tkMaXtyEo+CQvleoWc4qB69AWkzQJEP/caQKD5ku6dK/1ajwj7WF
a9uJA+7LcosVEsWyrLQtD/iWwnVJEGb6bwOKtonNNw13wTWPU143X/s2EtkPVVsY/YDIeQxa5VD7
6vYvV5DezXiofct7iEaZYl1bE4pTAuJkdT7QsqHngFabKaoUOy0rFr7usTrR5YjJfZguPLu0sT0U
eGHTsN/AJaCHqei48MeO2DY9kZatrGgSDkfRLVXpKVUQwIX1Z81hVWzWbmjq0wwv5iopUCHZYK83
66nXSZ5SnoA3srRlFSVIG3GWcGXv8LWGps3hjYtmVRYGcAe2qqd/TLOCAeB+bMkP2x47u4x6iMXT
oWnKPzUTDOKf2Fwx9nBUTWrrkzzAUYku2WpDKCIcPLHyEQyNFN9rbNsRk6vJkdX2QqBqjGxMkeEQ
NzuHj+H3KVXtUBfDgmLwbQIGUvYabslm9kL2EZzE6jS4ykBKK/s1AIvlAGgLCjqJXex5x7cchlsa
o5BGb7no4X0uuMguXDR9MfBtVRrVlD0wcAMf9sXcE2vEGS6y7HjiQ227122jdZ9iOwzUXjoWm60Y
6iaiUIltdnnCu6ZJv6Yz64f7bDvw8GtiYmFUuI4zivl5lsYJRQY1z4yxIosZ615CkWp+gcCK2O57
uoaoapMZ2moH2szzUoO7RXbDZyA5OUTWiLTfqQzAmdFLEo0fkliF6ampTNx9x9snlQgaFQ3LyXTx
YJ6EJTV/BTxrUpduT0ATygYyxHdHHFDxEDarOP5sezlYMGZ0MERPE4K2Ofdjs9NbeEp20+cmUCmc
bo9I1DzOExVl4xOZZxF+j+CImO7wrc5UXa7rssR3RLfR8KVb+R7DydcQsNHrlYUZpJ1jLn9U81oL
OARPIv0eMz6Nn8EuP5oC3SXcXeB5DLCzRf09xf88BNGPodPLcavouO+v4iBhWIwNIulHF2Gb39SC
Hk9zRuoLoVPavUu1TfiZpO3YvJ9Esx3PKwgeNEAnGroB6emqRMxvzTr3/d8CnZvmvuMw8C2HoZNV
OdEs1Pd2yhJadBGL6NeU0yj7M1xF9QQKeXCHNtLxA9QWlXdrXJ9qCAQFp6090vUOHhLLcQPxIPZF
Zm2UnUYJpuNLsjeyfwrrqg1v16G1+zmYmm67yXZNeJnwTZDPhFeiet9MWT0W4z4H0ETsSAafzkxx
GPkth4n1oyHHTGA8zUf5EcYd1fDOxlnSXEgjhuQ0b92Cs3ONU91cgJ8O9eOULfyHhCZAX1QoGa7v
mo1oHCXNsK1nHg9wxT4RdKuWe9FB4PhS1XYEvSZIlvq1SU0W3apxHHk+V4Hm35sm68ai7o2Y4VfZ
hxWB0VHEtlsjlZlP80pJcJpNT8O8l8c6fmVzhhmcYlKHkDPcMIs2qI3O4c9r+nN/leTJIWh3iKdp
BTHtHI8aTvVkXzns1Wp4PBawguCPSJfqvyqEcAKn4Iaqgqs1Hj7vE/wZIXCkFCTPciaOo71dZ7Bk
X3f40+kqb6Y52XDeH+M6DHk345pec1S8F/NjtQuLP8GCQ+NCEFCryd5LjHL9kONsYY6ecXQ6z/0K
0+Ac3E/4S8sszMR5WWom97wO5/S4XzdTo2qxwcYquyHVjhwRTLamuTVwWYMVsW7b4AOPhaanJuI2
OBmyhNkp2Y+j+6TJwbqbZT7WrLRqCKrTtNJqf2Awy3kmoenaD6gc0V3krZRzdoFqfD3fZQIvmKcd
JbH0EokW991cVfEEnHfUbA+qJp0ohkOHcxGNOoGNMtemalew5w4Tvp+JUCBj9HBzfW43ktCbAS3j
7mmA0l075csewUAHuuLwjtVZeBuyzMzvYjMF/Tfabql84JIZ7LG+UbL5k8n0wE5QkGwz56FO2+WC
v2zrzrESkfnIxdJUd6ZuO3YLEi2Xj1ZTGHydcRxJfoIvE6v+OiCVDE1z03RwXx3auga2GQws7BH4
7XZ3TTfv483YKQbMMAWGmJzNCNfDfJn3nn7Ab6afFpjTb39IiMaDk57RZoiKCfKLdRHgfKqKrRq3
Dx3lM7tJsxFcl7jvAVZVi4Z1+D7aGZZyelg3EEiWJCzQUEibZ0w3jt/BvrVub4KeRugcwSo2sK9K
HUN/B+hucyAr6o/tB24NA29x0xISvlw7NYwUrJmS4/EgWaQMTuJjr27TDp8eQrMc7mYPKw7k6R3c
L4y+JXOTzTfbzLP4enNvDTQBaiyjMfmcIcoJ9Orqw9bF1K77/sKyTWY5XNNSfkkihfMtF2zt9Dsy
h+n07dBmjLpczssW3+4RI9tThN3ffOnMBgsa/JFsqN4JlMPW96nAIt4dtNPbqWc2nm9w/wdjjcWl
ajmvR5KssAeG/+6Bj6nr5bKsIlAfk3Cf1fOCNVvupg6w0Hfd0jZtEXXNYL5sY0Ljr4ome6pyKIQR
WM6Hksn6zx6aqeQZqvVR9m2IeCb+mOQkKN5XEERkhepol9yoZDY78reGpBwu54HdcRXKDdcHsj1I
xvIgXpKTgUjDsAOjlwTfoSq/RwXBpd7dHnYSr4nF/j4LskpetNuBmqtK+uhzTIGLKNieVl2Bt2iU
wBFxSGxJZRLzJWcbUdPT2EwNKMch5DsvY9bJ4ZGpcQ1kzsHA+tYNsPG9xGEbLe/Cnmjo76LPmr1G
ab82l0XCKed5og37khq4vJxMVKEUkLbBzJ/2fqySC9HdSt+h/8T691Ik5rgPu34acGBGiA3A4gFU
S0sBEVX9WCmZjVuRRlH9vAP5EhQbb9Xy3hzrBEI0eK90LSBjWIkiycJ2fCcMakx5o2o5ndkOXq28
gKIWntOK9f1Jk4riS7SNDB8jO16dXLm5Jj8poJVNXWTpEtOTshMJbS6Obf/cpRKqSfmhwFp8HUFu
Y59qw4cH3VtkXEVTd0ERdlCF2wuc7kuerJzNn6mF7MFNzdcR932yEaTpDATecc53FgXzbYspkBc7
9HNSUPjQn8Te2L4UsGvfv8ZEr8uFJkKGcCbRkDwLo5alJyYBD84NC49LhstonXMdV515soBOZX2h
uErkgzDV/i7drwaohz7YvUlTQc4pHGw2XKNIOU76iHDsr3IJ6lvB+xj+2LIKl/e9tmGBHslE/9hl
tS5FtTbRDdI1uGYKsGgGVNpzvXXNTTOPENaIwKvGZcuK45izMR9ghsRPsyb0pkY+8HlVCbuvIaWk
cp51kymakPIamq0jzYch6vhdutb7nxHYP90jReio8ujMkT1OAdXPZIXEK55AbH6oeUoP5E5hpJ+X
YARsd96SgoNG/oh+DsjaY6IY1MhBQ37cdUo/DmtQnwXtuMiV2ub7RcjsXb1CQf8ksI2LeLNrQZuq
vYmiKHuwvN7v6nCTf+z10n3ImNRFS/iLjLX6GHdZn+U1GQ1gJ1YKMeUbabPV5DD0bvbLDqu6/YYv
tP7Ew228m7s9zU7YzrxQhz3+h70va47cRrf8Kx1+py83EEDEdT+QzD1Tu1TLC0NVUpEgCRIEwAX8
9XOy7J5uV9jddxzzMhET9otKSkrJJIDvO99Zlm2na3J0oC/Gz7PH6GPZzhFs2UPbUW9fSDrNbVrg
yWWQybvKfxO2cPaZkCRx6STkwkDlDKbZ5eLqB3Bo3bLCNoXpwCkk6w6DCdHHiKiv8zKZAu84BTHU
2JCVzv5RV0HBb4y3GLudoPP3X9akDZOMu3iypzFWpPyMylUOG2JDL9wroUR8rpepRdhr2U1tOgdK
s5dobJV/O0RjpDawaXAdLAlMUh16b+LtJ69ClnCdESeIyH1TVzYdiUApyu1IRaZb1ChzWkReFLWp
I24UXxdGouE8Lf20fkEo1YxyqLKM4OlusbaISmsIhuoNXHSKcKdZK+r7JUDvv+m7OJJbS7Hv5Oho
SnoYrvS7zUBlGN1CVFOTE/izUZAHfCH8EEA2tXwTIGPL29FYpvzM8XKqjmYwkZ+kMBRhGI+uddi6
e7TGNEQXDMrmejKmNdgXqo7OwUVJLMnHBs3q/KkhDT/EPUZkkZEz/RSYqPE+SwxY0SYvPUHiIkDo
KsPTgWIpLcYJu7vR45JPstTsQwJNv31hM/b2j8YMPKxzQgcP51XREW96TOa1XsrUC0MapdYWWma8
iNrwxqxscd9iyP3bNy2gZtuwGrGFD66tFg7DAdLrO2Q8k2bZdBPcXXdceGF/l2CVYUf0Iz0wbE/V
QgEWVh1kzfs68qt5HzVV48s8XjVKgLRNkqSEDXyP/gMVXz1kblLXWgQxLna+r63W5bzjTdnol9Z4
/bTta8/ygzF8JPjEVj7rfAjbZfrccAItUlI13Hy2czNMW1X60st4MwYnMZRFkg0YhNuzq+u4xEdC
BcSABih7ptU0oCgdEtjJvIxrzBkE0kNx7stw2M3Fwh6GKHQW1QFZV3Xr2rZNNbJBU4jCyjFCvhir
+62bGXFZiTjV8bBGBg1axUeaGjv3nkrtaGdzT4OZVt8mRJuwzdr4fpUn8/VcTUuDjIn9mkjyxSEo
T9Rp1Hu8OCKOOU7izLRr7aEedb63W1Y8wTuc+AE9Wmz29StfRZXjjI+L2z40eiO8YR0xU/UK74D6
NrKZDxzRpB6zQ5HBXil6jiYL/tk0V6U68Op6YuBu2QDurn0vMpxISr4QQPj+tq6qzubKI2LeTAuE
DGj6POjrVloF4obVs4+GWbjmBjzw8dAWIumwIovx2PsAOi48LG14GAvbfmYoVuabrpnN0Q60a6uc
ObdkhGDjABRTFp9he1GLvJTYO0Wtm4u1Pgq4FT4k86GlrMrU6pBLAvWHvxdUR+1lsJFpL7oYzWlU
qq9fQ72wZtOzRj+h6Yw20ougGcHfk7CDWykCydolnl8IzEjedZj4yCWH/YbAQ4w6I21nKrcRUqfH
bEB532cMg80J0XhsAbqLfdNkw6CXrB3RMaKwUXzJoHhxZRpUeHgH14RtpkCUAUUX/iLhpeedBbxi
vZXLI50nUn1c5mlYz2u8uPoZNh99eJaJGIXJbDQpceoZaDSwUFuWHMHm/Yjo6Pg2RIRhPvV0qaEb
LxDV2+Gcp/dBFaF5LQxaozRB9N1xrQtvAb1waNe8wciRlGlhISL6WnSI5jiEDUrntIA2n733FiAE
zizU/IjmW3xMnFeL7e3iMd7bRwwnQn2eIftub/WMyMibeIQbT8aYVvOtxOzoS7x2HmxuSmKrD1Vf
QlvUWKVa0KZk/CRDbkWKtNYqnRtESqBjRnQe9r5JfagEekQgcmbbmNEFKfaIpRDpCuSO5A1Nqqo9
uZmizUwhxwk+o8DuoqxHIzrdOlWu872vBo9+nIuhG2/HSXBxZBUvpdjIsWjEYSqrJaiw34bkWzOj
mvzcuHJGgb1yBVPhph/WZ+CsElyhCQ25XNIFZ7neL7WZsbLD4SWMqmgLSDw4QYuOg4QROEKn3ZyM
9BnrYW43vLIVjFJY0C3nmY1d82mWaGBTrYGxXQIvTLp35MbzJm/6QodPXrjK6cb56Epuih6BWPcM
AFT4ve0eb5SJou4b6Qyn+yUoWz+LY/gKn3GQlTisy4WEc14kdGEqQ6QQWJLZGoAr8DjBBMY/JjC0
8U94sGhzHJMoVkg485fuwhXgqDRR0QxbaFXpd59EoroJ16ID/aLwm24Pf24vvIM8jCZ9hrCbdQbM
3Tm1RUzdrLcg9CiZATwm45dulsZDDtxq2cFr0TV+9Fs5oHRPUN/lgeaqhuYOdaa8GQGTNBlo5NaM
KSwngvDkJyFBDU2s1+0FxsnTlzl03OBdJYXdzaVgc66JUs2mjSI25CGCNyzS4LV01RZFb8tPRQyX
KXDM2msKEkKh+ryuBF+OhfUpy0CHLznJITj3DeyjC4mxHSY+fXlMpiVasTVbFe+xT/YYSg44wlLA
TUGTQhe31vkgu7HdxssYDO9UkKb1UCIFsY0Q6wmvBoTTyxaylQaDAGuySeI4jDOv1XyXhCp0y6EJ
WMReYI0r7fn6zC0Kb1zEdZzVwRL1t4SKdvng4d1wL60CG/Xj9mrai7p7YusU34zXRuFUeH2z4IwB
LRA+Oq4oy1snA4OaTI9R4k/oydCa0wyQMkFR7hvJu6/CYcsGhclR6b9rO3nDdoSHJ+pCLHPA5gjl
6PXR8H5kt6SqpxInIqvXt6YC6Pq5rue+2cZl3Hkz7q6KOkTOJlrcx6hqcDSEnMZkq7C1D++VisnM
UgsnbHcz03hkTwFgCIGUC8Cc9guHa2Xzoryx9+76Erj2/XStxyHMdqwNMzoNsG+FOkjp9lBJwPt4
SGIVbTVFfZdsEBc3DicInUoyZyug8h4FvdBU0BzkMMtOswJgfkYRwZJzM8axeezautFHWkZzf/BG
5E9/xtSl8LOkWxJoF3rpjWlLw9k79z5MeO690Yzio7cifi3jKAC6jRsl0zfCWPD5JfHp9LS2YG5l
zDfAskXUdnDS0KVnv7LEqOIpmk2VhR1s3OtpPXorUoo1+qW+ag+zKiOXosyoAVbQxY5713c82muA
ifOubZLVfwF4QshRNBh4ZMqXmHNuIJv0Nbue4Sta+Ctw4G0HHYZjFiWy9lKsuUuijIsxUiFwAdj6
ARikw1Z4AWDtpAOS7dIWSVIsdcOiSK4rSuK9XUa+7lW8eH4H56pwHjmgixKRUP3Ig/pMAm3MCzEw
j36nZTzKsw8IkG5bUo38cZ6BQOdtyeoSIizwbu5E17XJqSjbrnmcGW7MyYWsMUd/RHLIZcLfGiK4
2a3krh6pLI9LrXnzjHpWFFPmj4kTQ173TAKdi2FFJfxsxGJWXgaLg8SpHOMOyvi2Aevp6tRKP8Go
zTdBxjl8/uRGAvE244HKWePGWlorfbdo3DSMhvAkILs5pNw9Rrjt0JBwUjXrM0DiYtlOWMlbvq70
jF4h8U6hV3BMthIfJl3hdVrBwp1fJ4naNTUdyHltewhMg9D19tMsRg5tfjPCIWFrkcfrqjSYE0Ix
ygnBLfEHw6YsQf9mPsspZuFdD3W5CbdXR8sArdtCkGHN9MqnOuNynpvcSX0NzrImuSG6iLtDDMHi
vB86NUZ5OTnVnUMDOw4gQT7GSr3TdNwKYJVB6pkg8LYYxViRt6zkqK7VYBRNk0iK6HWhCMs+FWtZ
Lw9QnscWEGNV6PUt6khUflFN77cHP4Ki6+AD3BouEEdr+9TCebd67jsSL+cg9oz75gZSq7NzpWeA
Yywhy1DBABwHjDYCQhbGgNM02Pgy+tLMmXXIRzxo/Al1Pq5h2GSgACcYDcbxlUU4sS0HgfOmnRCA
+uzPTWku2q5Bd6RI90JdgHdYgNLNrUMAtqFx/QVohhflNWGeMvCkRCGWmQ5Pu9wAe28ADmAjvXYz
87Ue4Z6eosx5XqCxWNigwQpX5HoHuUJXXqa+JvzW0Kn1oKoWVLyN1/PxjY5QiUMyS8rD0HOUIj72
u/Yx0jq0WHslkYNNFTMQj6KTRh4OrXzh51FIPLAIonIobsKK2nmLbRSWb1Pbiend1otazv1KJfmA
YiCJl7Qe6vHoHF2XD4xKNd3i1C6jvUG5kkp4egwpMk/KKyaolglnLuY0dyiOOT2aCoTqG+DBErpe
uLyv6OCHBs05QT5fTOwr9HkDS6GfCOfNkqgG4IQeqgdMg4MynyZkzz7UIHDhXESUACzq+MQK/kIV
BIoq63zA9tOuK/TQ21RA1hSnPcO4NMow4tPjO/rlEhgV+lLfvqIpW4WXJhYD4zol2GUtoJK2B6k9
hRe3msvtAhUcMlC6JU6qTxCSulGn44ysjmEn0XKIOpsH2CTPR/TDCwlyHVWYWOd/jRjwA0clcXEn
+860G59/rOOnZPprTN4f3UtIG03AhnHdSDwwtD6C/EW+/o/eJT2s4XghKN3isPLRsfLJvxjsmf8p
h/tP3HH8H0Ou0HeHFvQXlN8eVsFQ9cKe5Oz1MFwzWqG7DacaHuSUD+HdYoATZcgO9fys9xa0Hv/+
Y0n+mE/xo9FJCTx4EZ6m2x7RiW2OfPvlAqbSkKFqwqwDwD/7D7LmP2FuBD+QWvRgnImjKNlCfTzQ
R+v6YsxViWoTUlU0ZJkPrXmL2nBx3f7fv7k/YXT9aIVSg4yCPT0k24QhAMDC42IzANj6D2/oz67+
A9VFIT7M0IoTjKnll0YHLzNTxX/gpv7ZtX+guaBYHqQqC7J1yBhIK+0OYmyjv3jxH+gsNghs148J
2QLw2mBqI9IiAMzx1+75D+u8WCZhCRfJtvQ9g5N1KtB+4wz+S1f/0QglbFQEKgLuCxo2GIFajki7
tX/89xf/kyf0Rx+URAdyVkuNx6WiPHwznZBz5icuRIgJC6VK1Qjq5x6KCqL+UhYYdIC/Z3pVrJwp
DCLIFtmL5EM8aHNTBwBp/v0b+r62/oC49KMjCq1dlEyujLeS8QpwF+/cDCQX/727wCYvMepf/EsX
B12yE6p+qlfxFOBJI/vCiLFCx1BWG0TBvS1ThJzY1FIURr/+df/1O2K6+ft/4+uvvXJalJX94cu/
P/US///39TX/+2d+/4q/7977m1f5bn78od+9Btf97ffmr/b1d19sUB1bdz++a/fwbsbWfr9++d5f
f/J/+s2/vX+/ypNT77/89PomRZej9dDiq/3pt28d3n75KfCDKyaLD/O//vWX/PYT13fxy0+X106o
Uf/xy95fjf3lJx7/TDGS9CMWkzCAEhe7w/z+/Tvhz5wnFHp7Eoc8YVe1aoegxeqXn0Lyc8IxquZB
DL81EpHwp7+Zfvz+rehnhi4UZ38UkYRjr/3pH3/e3a9Py68fC+7Jb1//rRvlXS86a3Dh7+YC/3yq
KPMTgl8DMJMT4geEXTevf1G8E+CyyvMx668BQu8xsoCnr+DH2AIkU4CryoyUy1PD6m6HgCoCHHxd
nkGN8B67QHzQJR8uKI/WhxK1zwlNIGZ5U3wfdHLAwA0QUTDHYg8Qzt8SacoB22DxEodMXmzjHYwu
eIYOdzy1jXnwugY4Zb1UX4iH1pxMdZeFUwvoBOBJ2tYSNZFJnE3jASQrD/DymiuMOZ+4cwwzcVuk
6+zURdfxUuUQYfmZrMCSWP2ixsJoKMbeCAjbc6QCP7ajrD4Kpd6b1etojlTGQWeLqD+LsP4y8xD4
Zxzf1B0Gtk3VNqcZssjcRDHsMmIoO7wOEDtYrjcLAbPDeIV8qDGjvPCG7N3IMWqR0DggTgEwkp4B
QAzCx4XEx2mpE/A2FFKmvA5MAwO7QfBbooMf6PqlxtRTpv5YbnUog8zgEQH7xUr1ACfRt5mYGKYK
RYFhvGsN7I5n4IXG/yyDBWZGBjjEzoUgkTEel48T5v/Q5HuP00jbe8Qtebt2JkWXq7jw7wkgR+An
5VwBLOiCyc8CbBEmC2e/AO1PN1HatJUPJMliQRbh4m3tEEsLqoGe8tGDi/W+VVXpHTCTbU9qaW29
LeAQj5n5YpriBKTUTtuKefw0oS75YENd6IMZElPtuBMYs1syhIDw1yHJJ+KSISXUn4qsNqAYwWQ6
9r+CxLS8dHCWmRApYDBAAZMS2rpJSss3znP8zqKTTVI5xCX2d07JlM4zyCYpC2rxEe2fvqzWXtG6
vi4FAKoivq3KTgYoJLwALMzWT4XSNqW8m25JHJng3jWW9RnYHYimgZi0pZs5DgqMWzGEmx9q9FHV
nrplHMCJ9aMyQ5NYwkqaDiFsEOfuW6+EPFE9gs4Kogds0KdkMPjMMY46WmQMcGzeGuBLMvN7M5UH
DHSTNCQzQEjSbCwom/nEIj+NKC03cXTD/Phja+jdUrd+jmCIMDNCY2gbVynR/qVVa5mCO/4wRdOX
QsWPY5ds0I27GwFYBLSVi5zH4VyXRR41/SGpLomc1LUihbd1uWZWYx4RhzOBDNrJQ+k3gCEgRn/H
45z3rAOL3r8LrfBycC3vfX9QW7AkUoktastBYMvxVr9F6720oOYxvAaWxh+lF9b3xvcP4M6KfNYa
5NqKxllo6gRca+8tFm3zyJVXpIln7hgcfoxz5srRQU9FWLlvyYqs7qh6ktFU7ZqGInejjcr9QMsm
TRLpQHZFqxlAawXwdPUBjffeaxwPsGmiu6XrK8T/gBs1KVruO+Zj+tRHOfpelMUgZ/R5AbO0iy/q
5DN35WPYSpELFo4YR7UKS6beNnHL8iCiNhvHgn5d4xWpgoHbwBfenDFHWdKoYIeqa4sDOJuP2Pou
ZY15QDS48NgItrUQ6rq6BebpwmQ3cL2Tio27OPHfWooQmyVx7zBNvY2quc+mNU62sWFP3joF77Nl
zZdxLb/9y+n0R9v9d9H5P7d7FjOeBHGSBKEfUaTN/Zi+1KH79SYR8L1XgsFYgZ8Cd6C2C/ISoNZt
1SdYJd46EsgzhsZc/H4RH8u6L6DcAhA+pTKZK+yTNsGqS/qC39WhGvmmXBqkExshGDgFQQNvLzE1
7qXXXfB1cgXWc6DnucioaikgarnqJHc9uFMQhOnp2ATVWO2qMvH0AQ7K2CzALDlNrp6mLfm+m3jf
d5bh+y4Df5z2tMil8g6jdSB8YV1OeaV1h1E1FKFbVjX1g0WgNE3bwacHPQzYpuak/BoWqk/RsG0V
OKdnTBy2oAhG21EIfJr1dPZhzXcifncK66Y6RUVdb+pQLlkT8iqXsuRXVDJJpzF6WGVgATsk5gxN
ONkNsDZC629JFsCDIkdw0Q4MlRDUSmrfAwbqtZ7KfjNEVYtn1QAM35kmGJddPfV8zND3u50pVqyW
xK81nm6gp30Wq6BuHoUzwXxyQy0R6j0TuO6BQb3wRMN53pNIKy07sJH5epcUIIEbX96IXtcnVwbx
3RiD0JUypBB9wqZgshYsri0UBH0OF2wt8IEO9e2kRvZWWliPia6+120fHhMfZVNfyjq4QLDW3EgO
Yh5o1BbcADiCruIsQaY+VSBW3nZMejs6VfFXVkzeDvxpe1eA4Z32tCy/FoPAal3EMH52BLvXBJb1
bUFG/x6RiG3eB+DbgrGy9xcjN6YncN8Npb5DphkIaiTctbJ3u2AIjjjtdEpHbzqxcmB5suhhM1eI
PDEh3PwClkKEcga/5WNVrssGd+5DW+L4B6WwwDvhoKiyakpDFTxJbvusGZe9jnvksbQYri/RWwly
+zYZvK/IOu2qa0G9U5U9RrTOK2C5bRicoJz7UJRRzgbQJab5iwgSMEf4DTz5McPCTGa7rOMbGGzB
TTNE7z3oMJdmVHEeUF9v2eKxfR/YV8KMOVYsmDIDhvYb9ErzcUqYuZd96DB7JxhMKMHAd2nYbgK3
E8UiyQAwvk1xy7ee1Ji1NyXLZSDEKa69T+hpyh3MD4KbbuCXWq8OWu4xhALYcwCmgn4Lu8Yig+FF
l05Er1mixhHOFC344NitYniLgk6Ro0rY9srYC3QHGuoD53bgYptMLuGjLovl0gaBOIQy7M5e4BIU
H0GCEAca3DekM3ekKzcRn8TBs6zNSkBaYMN0VBxBBAznNPTa+N0U7bQJx0B9a6aSpTi++208rn0u
DQnTSIb4rgAJuY6aegcObY0Tdgzdp4XQyaTJ4sIP1F1RxUlL/yNIKvYFKKkP3B4eId9AA7o6scLy
LoOTmU1g8L6AO+HpsQJZCaMujH9wRuvraQ1/eRzc6vshnnw/0CPaghwJNg4O+un7ob9+LwDQxaMY
WL4XBvH3IiG51gvVtXL4vkP/3+6jLuIryP79N/tjI/W73uv/vW4LiNafd1s3r+Vr+9q9/UG7hdf9
1m6Rn0P0MgmN0T6FCbm6aPzWbkU/R1GYxBzhvByV5FW/9492K/mZhwSsEw7eux9G1x7tH+0W+Rlk
goSDEQ8eFy5J/4/are9ptf88f9FuEYbZasJ4yBlLkBfy+3ZrZSb0ca7JgxOR23T0tUQbkwqYkd5U
sUMcfDuSvAMhtYeGJ4emHONgf2lfl5jQS43lliK6c4dMry6t1HzXRbZK4449l7HkOWaldAGXAjQt
UPyyGf7S95MmSIcOI3jJqbF9NBU4lzXXes+q+FMNX+TQJBdnVpsyIjYVrcGlmAqEpy1p0slo4zdo
BwDMPy9gcUKakbRQSpCzjFzySkXQ7qaGY9cOk7RhfL3gaJeZRceStq2r06k2+9Fj83aGeXsa1myL
qWBQQsUiIwyEr8T8gOYIs/Xyns/3AxiK+ATf5pCmCOI6Qw+1cSZ8gBXKqdeqzGA0lEGh8g101eXo
VTDMB5uArbuw0o/gjoS3vZD9dlqRKbVQ8QxKM+rL+TwS3ExuVXSuIX7JRASyRWd3g4d5T6eGS0RG
NFJ+L3disV8xbF5vihcDllBqBuy31TAe46BqbxyoXglxeTuMmzaGLEvGA2Cl7puNpzXnSY3UmSBf
WAJdVv0E4cOhUjLMNTjH+YRxGE7SMvfWeu+58d4LybQpjVmeoS0ih4jKjRrDJRdNvwGHG7eGDuVe
gpf4CCvoh+pa3hOUNJiottsF096s7mV8SyINbvS1WnaFUhnmSfWO2bjIWsLIIeSrewJB5yFqBjQM
8JYc81pW7tFvUWyg+7RqZ726vF2SC5fkOfJrEBnqpLubtedldkJR66NnqkF6aZIPZetu2hrKJTsu
8a6e9bnU5uChA/HX8sNczvq0iA1YgQIflbnR2n5rukcYQuFoodd2BAVg5qTDaRNs4gUzy2vc8sAR
1FCACQkl8HDjJv/ckHlKHe1Sxti2H9xhMf5zIV/CFjGqqpIQNSTX310fBh+MEPAZn0Ohoa1wE0nB
iAnNtgOHPZNsDnYDqteOBK8QtYgTTHa+tTW/QFuRxj4oQ8VwF1mWTV2NxiR80GsVfJpALEZj2ItN
PHL2yJNu2xXFgOs6nMOR1N7tWkXkLphXuxUcHmwddA1fFYCJk9WNsJlxJLlrh0gdo8K4Ux1r9kow
NkKuQ1eevICzA8QsoHPVRfuhxsR4QvCfEecqrPxDBX/7vaO6fAJBG0NbQDuHqPfdJ9eYPnPD3N9V
YM0cKDheIN4U9HGNxZq1foN0ItWhKkt6flJXABfMEbjyBUF5GL11uWB8Kp9WK5YnjPtG2J4ipltq
Z7bDdKVqa8X1K/SYNB+CagLLnpMLJ7E6NxOb74Oxi25IsI5H6+vgUwCN6IaW/bJdep6chjZpDhpQ
+u2q++o9AtEDtah0+k3JRsKfZcJdX8dZXGrF5zMpWntqIQAMIHlDh8nY4j/MEayygiIMzrLpq2eH
Dwt6H6LPeFToOUIaxhkSMICXSosgQ1QX3QWQQN1wvEGYNQKogJgGmMW/nDJ/0DUhveN3g5Vr18Qh
+qE4BUCQ4jSIfr9rNw0iYyKzolcvy/ZGxbqfDrWZzM1wZaGPhb/kCjVD6sJgzCGrWvMZNlob8CXR
wdvxOZmMt20jN2AV1AY7rAn6nJTCB0rNQaWORfnJFiNABsydyR0syOuTRRlPr/U8BGTrnUpgVB1D
BXdx5VUJN1TPpFj6VCNea2+WSWZTAEPSypEnrasqHcdZ3iYjqAXQL47Fk5rn0Ntx4oYVqNI6dHnV
4cJpOFdcZQlVbtetVTGihyumZeeDtF9vpiLuP3lBNYh8uDYvBPPk54hCCGhCEDxbZGp5IXsYqbdD
qk6XAajOVXcVyFkKzBWKmJ2QqBSjEqyga7s0om9Siz2jcHosNBhFqvdtClnH0WsFkLKuEBuQACFW
9cY1Q74KIr0qeTJrPJ0K3Z+pwPKHpSLGNaYEt0dA0DZqt5EEFMTh2uBVE5mP3TQDHwSVHyhHQm56
V4PlxIN2S6+NoVoxNldjCQ7VOtMdB40pG1dINAAUJj4YeYSe3VibsyAev4zEr54rvwzPmHLBx41w
/6EPEv+uaqIQxAkB6jU+6+UMD15xQcXLLwGYAnMKSrB5o6Bdx0ByoupdtmCjLBpcCX1dKe66Zth1
9YTXdTReVxQoyuMRSuTopvG65V4NYjjHfofzuTLTjZpxVHbQPr1Ci20QUcJj8PuuKxgj+PHoX1d1
QZvuabqudBLg9FETPDmH6z4grjsCSGbJScU9NL5Dd30OBvbIrnuIuO4m63VfWa87THzda8h114HY
TOXrdScS1z0JOZb+oWGBOHdlgi0LbFX5QbN1PGAazg8KIsgTLOmqbIKb12vdhu6kCk8d/aShd+CV
Y2Pk+OkTCpDkK5go1Q5oKMjsSiR3+GnvdoSEFw20ixGsk1CwuzHfBrGm0GzBjIijQmmAmZst41BT
ADSj9byloljALlNLIrOgjLTbg1gKJmBHa5b5BA7LoNJys+bhlUMOsIAX9bFbTak+gHcF1XJIGmXh
XR01dt+XaNPPYeuXS9obEWO4bhkUtqAoYcYCM1gOULD0EP/DqsqVsOmF6ngjV7LivCZk9TMdJxLI
WlcjQwnk2dsI9ogXBo7KPVrlYNvyCDBSHQfQvGjSZNFaSH83JFXbbjw0sXNWIMYWblaq+BIBOZxh
6tkCG9V0hYv3KGF9m00QKLVgek3+R0AhApKNqguwt4B4zfGIoVc+68iGD40dcF+64Z4Wbs1WsNA2
vnGwYA+7vSEM1GNqn+10TtZogCezfwE3SF1iaFmAkXhFhhoVOmItigzqb5kGSKZOFdJYc9mrOY1i
uG75U/1ZNRz8jHr+GkA4jzQ78Lq4C+8Kf5hveos1iljSL4J+aQePHyHDF9hvXJhPFsdA1A8IQqH+
jlb9fcyDB8ileb607C4o5mJfSZogY1D7m3GI6ckmS7Jvwf7PhIiOBfMeoGnCmSeC6Ozh/N/4q/oK
d1Hoo0sP+RBXUYWu5jsc57COUeIbiWcoGeEEBzCxX091Y2eEsfT2JWC+y+tgcN94H+AZHMteRZn5
Fe74Dn38/z7vfzRVo5h0/cvxe53b/W6kdn5F/O3r2/z+rn7X5/36ul+bPBr/jLHY/+LuTJbjRrIu
/Sr9AkgD4HB3YIsYGcGZFKcNjBJFzPOMp+8vVH+VRGaa1GXWm+5aZFomSxkggHD3e+8536Eq00qg
+YSU/u8iT9t/maDalem4FFrej2nb/xR5lvWXNiWiVcE8jkrvFMD5P0We+5etLMvmJ56tbfqv3n9T
5P0Awfys8ZjJeRwRtDYtpWzXtD6j33/iOdSYH9B07bwRmylv8UvXYlt1tLlOEZP7SdMDaUQJT7X6
EAXsPWU7PGF8fO6r5lLRw9lN0YAOr+6uk7DAWqYQppe9wXZctc6qkdlT57YZmqr0Cfcw7cf5IKhx
/aJX1Qp518oekz/QYz5qTH78clSwFvQSl7aR+xm49ZOYwsSJZM5+mwbv/2fglM+f5PAkJQ5uDm+s
6Y73aaweshpqJj3OmsOSH4OAOEFU5q5cW1W4/uUV+6cTnvfhgKdxeNAxoDHuKCH522dYy884gEIN
3ygJ9ErnxSNWUrRemIaDgaFapoZ0bdaKicdAuQh7FP9NWEe7gAiE/dJXOyfWz/y/7onuuTCkvayl
bJ5CYzyWSr/a0dqRFTW9Kr82E/DTSkSLPxX1+czwigIlHreBMA+56DnttxF2hQHvj4OKEArC/KqG
5bmu4xeBOcrPUlP+QY3x4xD787X9cQ9cT5rSVrRNJDSjj4fcnxBiYhZ2UYLJPCctgg7otiqDnVc+
Vbl6NVCB2Cd/eIyfwBnyt8yIvv/+Yfz4oI8Xoi1L2EKbJpNgKoCPF/KJbmv9mPhhRnDDtllPVvYN
mgk9z/nkIT82/XJfyvlmCEjsEhWm1tyzb0Tf3GGmWk+y3jmhfl2S8CWfre2fIbn2SQrz68VqpVwW
IdS08J8lS8jHi/0Z+2KaC665rjxoc7wnOeSuNtRF1cX3bV+eJZ7aLxPH4dp8MCKwGb0j/IgpdYMw
fsAZojuLbTyLVpFS9+MJAP37m/q3p8t1etKFS3IyQUpWuo/X+ZN0PsTZXeUm9XbMOaXSYL3CeXBs
8bj45EyZvqNwj+NKfsFEc4eOdtNz1vz9xZzuyad79uu1fKaum/+Biwe02SfmUBzq/B+QcVTC7R8/
7sea9PnzMBrBHuRJaftHefeLxgHRJT2iE0tedMvJCskMyO0aEC8jb4VzhxvE3rpzXmIAMiJ8STq+
VtF85pjRi56F8JMkaDfYWzK/8IqnoEcF0cK6Str7hTHmER1utuoDb9oGMr7xcrNfd4nnG2I5d7vW
2SeKwq6yinrVDDY1Ymlt8D8dKTqTlVHIfMPU8pzDUbglJbfhhNW2e5KK5g2zEGQQOSMKinOxgbt5
/fsH8XGJ1c7ppVC2qRR7lUXL9NNLga3/FxT74oTbpLqcEned5n/gBv/D10QDS2ZTdB0+CEnLp9dv
+Xf0h0j0kdngdxoy6cm30iJ7Fohm2+gxmcY7p17Oun6+FbP9HLiQBoAovTQB2cuyfQv14hdmum8y
+77rmoupzHa/vyHO31/Nj9fJyeJXOczPAIhgUecz8yCy6ZKVmeRPhCCaPgIFJo0VhrPIiIDx4ABq
TlhFt6qfwiWHtTMuxqVyWmMzTbXYiyQeLpq2ydeJPaZ7WbjBLqyVc8DQnT70owO9oO4u4Q5gO6l6
GhtADjCLVkhGPT4YO8q8jpaZMUrtYGUaUb8YzNM2JfLpHUabx6lLXoOTqmuqxpkBW/9gL65aL5wc
IDwx35mCsNkGFFZHtCzLFjHLw+/v2d9fIk470uHUwzYt2EE+3rK08zhuCDjnoQwuO4pL2SExF3oX
VPb29x/1Q8n68Zv848yhUUQJx5Kf9ac/ke2DvYhD3y+PS1yJY9XM4UM0UpVldU3fer5ow3c66+OK
tg19Z48NduzKZr3MluKhyOba8uY/XNxJ+/rp2pBk8a31+FJZdDM/3ocsGaxcuoQPJHl2mMPtKX9g
qb/84Q58PqloymITUo+p+QzLPonGfn1BfyaHJIirXABR+1nG6TqQtG3jCGJY29+OYVW9ZrX8kozz
jWwFbmIAItqB8kyMaoXjKy42up2u3UZG55mBCawJUGf8/lL/6UqxW7Mp8lrY1ufwrC6BkjhJZq9A
L1hV4LIOSe7LqIIFYprQJyJE02ZwdO0/RTtzkv/4JDQQGVp1CsgFg9HPi81Pgj0Nwodg1CwxzSon
ok4U9u0w9ycK6h+2tB9C8g9Pn89EVnEaMLHDQun5+Fy8/4DnvTrY5TbiIptm1aFytEAOzdE+77+h
xP/CiOM1idWrvdjRKjC+oksMV5FRlpfuVLwnWpxZpV7Fyf3vH4bzt3OKC3gC3ddpEUZr+FkI/5Pg
To/p5P3dBTLYBqhh0MxFiinKkh1xO+zGyX5PZHToF/XSls207VTw3NQLJn7l3CJyecevvM0ncxsO
ZY21L74eVcqgHB6+LGPsIOU38B3uRiNiG0LDOyv58VI54yFBk+7nU7s+zVq3qWy/z7l5388OpvsQ
/U+xHZqTSy7ABy2a9A9P6EcSxYcnhB6BsoUehuS7430+3/5EzLeDvoeBdLO45V4Xg+FXqNdWcK2b
TQt0oprCbGUF/JsSgsFJFLfpwva2a8Zbp0nYDOh5AtV2MOA0bPAasRmDaF3TVcy9dmTGwmSi7ToE
SizeNZ4NpCd4cPP0HAvYuI6D4NWVZeGr0L0bhPcMNP6CxtU6zeyzJmE3SOZiPeIPJJ5wecNMWK17
5iJNH68HLtQy86ssm86nJDlPs5R5Ry1fh65bQ2Sg51GMu67D0mSQJ0UNgk4k1T7S4AW3rUA2Qqun
NEzLN0fmcF0+rWcrnbYR0hAxKcPnRwdbVt8QYl2V2ZNePCCz33//Mv5tk3UZxFKkI2a0wMt+Xhl+
higIe1UvDIX2Q7mvMTj+m/f4f3uc/v/SoPykFP7ldv+tgXLx+hbNr//runl9+95GH3oo//qj/+qh
uPZftEgoey3TRqqnXaqsfw3K6a6YFopleijUC9apFv45J2dmzWyKJQ73kj6V5P+ek1t/sSPZ7H2K
zfnUevlvWij0Xj6/I4oujrIUw/zTLB+p88f1NLYMb1rSpd1OWR85a3I7CcZom+jKMBK6JbKzHt0a
Hs2qWcDkMEwfrYNbVN2ZO8bJXeHY8VXD0KKmwpmdN7ZI734pANvsgIra6jwo+j56CIk5mX3DKCFu
BUjh8Bnb68lAfNma2W0NB+6LlqUErdQPV1UBcCVpJtaLYryPZZXfh0tRvPVSi6vGzJO97VTuQS1L
dIblvb/O0ykD4qblVMKXQMS7qsnVo/s6d7tIzq25KrpiOdJCGmkb9+584/XBMPtsD1l5sJv6FoNt
vtwOXlsKhJtLfleZGJnXSdwMd7lV5t5hcUYCaj0zc5RPkRoNZ3aYQVISZF28GYbbz/hVC3DFIsdW
fU4Quecd8AhqSFGjYzc3M77CNwcdVLwLvSkdHgwr9N5KYF1fF2ssrb3deHW+6bRAGJ6MBqMEz2uy
taFSO7+SjA/Gw2LI4b3DA8c+H+X1S4a8575Udu4Lju43tjPL3ZgkZwwthXGojKgyd1DA1Fd8Bs5w
JhSGA7/GIocwICIHgcoYyZQamhJbeujEq8By0oj11LzHbR4/95kTvmEsbb5NZqsvqddmvWnptm+C
aAydlcQcfuTw1O0KNhM0RlhHd9wVx1p1EkYU9j+Ct3ERsfYM6XjyrYfnIjPy9GXh5bhNEqDdfmcW
5sFo3NQvDYzV3RIi666ASPosasgkqz5v/CxU0boXBUIjJ7VtQL+jPhhVEoL7Tb/1OW8LLR4wTegS
+tVCsPid23ahj4c3xRbL7927gFMSA638KnSm8hXJZQB5rRfvYZa7j06T85JbZpuKl6jSMG6qbFjp
fvoqiGTxod8Y+2RCL0Xue4zFdukihLxefFRdfltRfwBhbaJzKWd5c2pgPDdNFl+E+EvVJpuXaMes
zv3W5LZKVqlpZE8DjsqeEkROgPbicAo5ONp5jLKyiFL0h9nEVCVCBHBoC4Hsz13qyZ+zsD0fgyGG
lVTcnpglm7i0HLovSWf7lfDuM8cZnhtHM82pBt53eqKSOdHQpu7WLcmqATaYL68yRwn62JvgWOGc
RZqSO1IJ6lPLGMczU3co+Mae/IlViem5OLOAGISUzEP01I7xxPnCCrtyWwo9TOc1YghvHaVjjQXI
hTgBXlDZNcet0bpqGSFrv1KNehZMuNC7uCE2nl2Q984jlMzauJQOGYygaOOo3040zOSaIHF7XtG9
FXI7ztNsroEUQMqzzUKmfNdhqE6XDhrl/gJL7pjAMkvM/A6EglPcgq1OT6oG+oWPgFegrZo6Y+8N
QgOpZwxCCL/ojBzXr5ax3HdR3N2bSSbPXOmF9R2TudkFPdN5yfcRC/P5kOH09wVNxcJnVJ49NFyo
zfQuSb9nY+c1GxEEDY6ntDZMqjP9wzKwFL3fwpIFI9JbwbDOl+y9gSAAcEyMEJiTKm3PeDOnHmYt
OhwL4MBNM8TFZVFI+aaMqbD3dGtBgvSObL4KL8MSnEdpvQ4QpqL85UcsEpP9pVCO9QXTAMIOM8Uf
nqVOuJegRTjxujDHNIHp0GcsxIEUMHky4JBY4E2xQOp21Sd9Xa74FfM1JLjA4IcCWEE2pXRlk6IZ
n4ehcC8GlIePJS4pZE5ynC/7kRD5ooEpiJyhmjasQyFykdYb98rqxosBfifqVChUK3g53jYx1HQD
Q2yGBUx5kA8F1JERXlW4SouwPAtq26MuzybYkeSuHrsOX4U0mvreKmzxmHdq3FoNTIIFZfBZH48h
RFu2yHwDFADwC2mFK2HYICRDSKELHN+l35l4RM6rsjNWBQi61E8pD/zIKaoroyv7V1NM00tMPfvQ
RlZ6pvohAbM3BLfslrELIES396WVTF/rLnbe8PeM92OTj1DBijuPZWnyx5qR5yYayjvs6kBt2iWq
DnWdsvK6Fop4K68FistB7gYye+OVdDr83eDR4mjrZsPS+G2mnkNd8FjRjLZHwpvdd2/As1rEFJM0
Ssx90nX5i9a5Ea5LlL3j3rR7sckGdPOoMsp9ng/lpgEPeAlvUzChLzsr2c4Wv3AHP/V7VcbGeR8k
4gR7gOt0TuLDUq2h/JVf6mzMtB8QXskSMFTOWQXQ5AheJ+zWEJUd6c9MvF+kYTg3Qz+Li6ROvasC
tkwKLsX9xtbcnMNabhG5ScG7MYFzq6Y0POZWnnAtMwuVFFNzS/wg/4yCy7viWrqXHEn4Q2q1asRY
XS63tkbsG8u56k58mG2rk+8g7LIvSi/JZgzyuLvk6RXP5mIudJw7g6C3Tu5K20nWcVm9DXpZrrG5
uJecXCZQyUX+NFtQ6WrPiKOzAtyfT7p3w2ibICMfqIVYW2asYPBY6Nfy3puR3pAAc4fz2jjYTtm8
2Baa6w1AiQXfZ1lDkRjRpCA6UG33VdWD84Kff7gBq6nEmYyK9Ank0gl04pwcL2biFF/Lse2+QSIb
YBBOZWMcWlCDCXc18RIKt0HfASBBLSxkpg+V2xmRH0j6o/4cScNd8V9jMTMNrYc1DpJiJe2aH6b4
Km+cxIZ0M7aszDxc6+GExu02HXhZ1EsRpO+Kg1ntV3KKd2gSundZetSS6cA/myLq3+GuDGeYlarz
UTX6II24uklL8HJ+q6GLr2U2JF8yoGe7qM7bYxyB7YU2rA4elJMar0GMqIoAS+RWqmWzmbk5LVE/
A1c4RPzQA9Xo7Zskb5NtBa33tfaKxNnUk5hfY7yp37p20s6mbQcUzaHrnKRfYCnSa8uQzZEHj83E
5o8XdIsZ9fu5bosrmALLLQfTCOJuaGe+E7thxbwuW3hZjSDc2V5SvoBLy/m+iWLcTsYSW36QIo3E
C1U9F2WnwhWJocVrOkt5dLB6vYq+b1HiNPj8XYBjx7Cswe5UlkzPNJe0CVkzITeiXnzs0MV/W0z0
cr4otbyMI0l1C8VH3UblPJ2fME/3uA24tqYpEcacuDLMCeP2rKgXOsy2E5bXrPqgcBoN2ITDTolq
0QzCLwFST9adkWWytZF+qPzkVGsCDk04OZIip3yc6xc3TthqMH0tV01eSwehzdS/dl0pNzpK0Jbk
NTnWIraZcOgfHrloZhDoW5meLrrG6kGxuebyJVw6796rq9RdUQkslzHOxD0Uq2JY0/NynpD4DtFd
Cn7lGl2jyDYsMO5bx9my82FtEW/ZsjNfF+EsDxGKAdR8eefuRSmMbpXqyIB3zD3bA38cdhKLWOvD
atE3MRg4MPFAku8YtlbrSpHyEaGYu6Mj7V4Dz+XcFuGavMnsTg5b01tky5HEMFFYdAOQGPQj6m5Q
XgxBdoFZabrpjEizTmHlT+K2rlio90og6/RjQ6qNHKTxxoqXbNmf1dae3eQ79rJqzVFIfvEAMVvb
1jTULQwY9VIuCepeLxKIKGqbJgkdYe+A3k8/p3pYrnOzMb4CgEnuzDlq4qPddvmxGGb97rlmXJ0v
YVtik2xl/oZCr3tYxmnew5IfjrqSabx24G/Q4tB4L9GmNTOgyoJVaF/XudrjQDG+gNdEwJ+1Vbsz
OwnsIGq8lZ5BBa9qWYmNBZGiXxV2lh0gM4/RysmG+XFxSYEro4ReOdE4tV5HOZGbYNGrc1rGOl0b
YdxsxiKMj1PYmmdW3j9NWOFgsJfxGnMMTavCrl8CIO8UU6o6TJFwz+KmYuUBrHQTj7rbyNkOQz+e
xxKpLXYyYUQPNtgoHxLtBH0RX5Ldeu+ldvatEs3ZFAbhpnY7LFpM5XZItspdEM/Bd0RL7ZVjl6x/
s4fNDE4q3ffO2ZV5F+1GjgiEb0wD3gevLK8nkEFndVK1W0jLxR6WVHqsQ91/G+G13ehTuvsKVd3A
2UWX9w57HzCDsd2PmRe+cJxpV6UX3UKrp+5EAcxhTgfs4Nhd9VAGwJrIK0CZybQ47Nvz3g7ZqQ0E
x2M84rhRHS1DF4MdOzEw72Ls3tK6MMdNMmYuAtPIfUlqG4EkFNPuMPKCrAxjbo5NbUPULtPkAJN9
eF3c+m2pDM5WmROctlOqsSoqgjM1N81hhq62owSipwc8ruUeC/PCi2WBZFyKVV0Ygw9N2d4ixlI3
XW4iT65BkR9VnXbnZhVVZ7NRkT3l4lm8kgsBWpBiFPqf4J7X/kY54XGY+gfoaM41PHN4PjKD8JSm
lY/5CTo0uaGgJkMGa/WSRBfQHIt0lcx99lCKKXokDQDtU5Srng22/qLMbnrF8ztdK2A5xG6oLrkA
o6v3yh6dszJglLvDceSwvCXT8syU7Cqt2uYKmDg9grbbn4LMOQH2BYIvgtdeOHUGqyKV8qmdy+Fr
tbQXeZTVxxZjMnJZEEcsMRCA4I2YX8HTQjnuJ6CV/execNBbcMF6gAGyoSddjc+GwCbXTB77bZ1h
teQVNeQZ6nn7ErXAeN9pzuYzWHpiOejQP5OAIA+dhTumyPvI72bRfnWLOERQpqej9ILxLgjBpphu
Z25HFK37RilnKwxLPbp4ggCcV2E4rAdyB8wNp5Freoi63uQIsOHe9Fa+qY0a/yyKqqJbYYTo2MIt
FMuKqo1q2BDVS5dzeFpHRj+8kw3d6XsdTi5RKnZRUJl0dLQ7dpO3xjbI50izfNrDIihephBRHGZO
Owt8bSRVeJ0nlflA5FzJ8TvFvZ4I+8WODHWFGNJ6axOjtHz8l5iaK57DWU91s1U6o5CA8BM/pPWE
Dc5wKzu+q6q2KPYTjrBNFaquIhOjXp6GCFqSpgN0NvWtfcLzi+LaosOq9qcGyWsoDYvQskUzhBwm
NayE07GHdQXGdqudTb8bB2fF/lLdRZnuXslZYAForXxvy/ilAbx5FIjni03Wh6hCRvos1HWZtVZB
Ke9rPXf7tliEfRFOs0VrFW5ws4FZRcYjwl5hbMVkJHguxrxwH5I6tskdYNcUmLiz05ExPB/HCiJV
k3AjOq9f/ICkhNZPBs98r8ypv3QXJ3g0p1xrVL8igG8Nr+spLuLmQAenKLfM+DEw2PS2D4ZORH4/
QhO6KzprUOeYJ7v2WEZTOq2XaM438WiMq5muxK4T+tnL69zbMKe0doLmnGZFis1xhSwIhwdcmxev
YMfajmMsfUhTI2hzYdxXbkA+s1paDCYJ8oa+HF74ysXNJUu+co51nydXViCcb1nSu490ZkzgjG3J
SbqSuwIb3qX0qvqb0+DL8mMvFOdT3Vtby4uyt8TALLyHqQdU1oyatCEDQUCITb28gdSE5JzYhMpu
OhTw44l7FFfjBROH9lQW9iH9iKyGruVOVUfaU1v0I23/cETN35baPGZRj08mdia+7jCPgT8FZg5e
v6USS7Y54HecLnow100qgXw7TdU/iaA+HZWZkrDntFlGkAclMkaGrL8qKF/4t3nD4h5BgVE++3Sq
DrXMnVeQXw5JKwThrNJxTjnhsEXhLDAw5Ef5dBi9Sn1F4Fo9KjJQnhaFBd4Pmwjgn4uKfNU6DpzU
UbQzsoWOIyyuoQY3wJBhfanSbBXMPTjTvKhNBDzABggIgFLy4tQzeUWqV5dZULi4sYvcxdave72W
Mf4FRf/DYFKNpkE5WVqwytsulH0DHK6lwAZidxXXAPzEPsu70ucNFtltYWT1fgxO/ISoofZYMW7F
92c1qji3gG6BS64hla9zkWLEH/KyqXeBnRtDyEw2yCvEMeBlkbZayS4dNDCvIAum50FRYPGbuO1D
P+u+Wal+Qis/arXgA4IoWWHan2mgDSmn5D6LrHsXRfGwcTpXcU4A/3UkZgTdaghJ4tVG9UnfIp4M
a4sx1jRWeCG65uBphshJ0VN08XoqtA/YGSVgfnMKn0glbncEAakDDREdbwtXFDu6tdlbUef2BdwV
D+9NCpfXz1vdqKsYz+EDjoXksR7NAZjbHCh+TSZNapUaukW05ECLxZq1FIduDiB5dY17AuAOoXef
xw3V/GSz/MzKSr4G89jRB7HtGoRt4cYZg1OLJME2lbl15k51U+xC1xvEEfRqvzDWI6iokX3zBToD
JoAU31TupzYtPT/uQNqHkaL3SC1gpCRWNAhLytISIVC7WB8ZZ9Erjb3EvUQ7BRNOs36yYCchFp2c
9R/ibQEYeI0yfNGkElk0bFTU1+Z6iIfqkrH3NNKkTadnFSQBsvG6f+ab1NjnjWn2u7AK2/68Mm0s
OqOhydA2RBu+AdtNou1k9wyHAyi69YptiXVlKqYs/5KIAbGEd8ryNvsO3Ca2JOlAh/dGjPQp+Yp2
K0t/qMz5fC4MMi2oIo1wVTUnXTaUwSzZ2FG83Nh1QFiXy8mooWSCilqT/UamcuwEF+NkBOOqASm5
qc3EhK6TAnLzU9NDCsWqKsBP5NPWKEezP59HiZLHIOYBxw18BwJ2G5NmUqsV68ASeS5o747TfcbO
RgmmGObhIwdF4IKiV7vSDWGKmGNIs2guueAQoHtw0fYFA9kst96H1HBvG0a4dB4hJvqOUXagiqOE
Mb2MsgpwSAbOctOybIaw4mrjJqTUcB/seJk3oRpiCpgELiHep8HYUtY78bvjFPNLxoFMbpLYjm/p
4oJc5OBar6NRx7dp5s577TJA2EbppB+quK+OyzyEDye3GGBet0rwM2VPFQknmxKiWnqWsIlsgp7x
fVjjGVz3U0CmCuS+tzKu5vskI5RsTSwPs35sBN18zNgKG5/MFeLeEOO7+3o89bLTwfvGYa75aiZu
/mUxJ4xcCMzJX+H8fjAshk2rrjz9RnhkhC+Q3bKoYiW2jBqBDvzt7URD4UhLBxQsXr7rFhRnvzby
Ulho/8dlL3hxb7t6rG6DBUxblOAyWUd2aN+BNGPN7ha3u09d25qOmP2qLUYXN9xiDxmiVW60dKKs
qmWEGji9wCDM65vwNRoEfcs4GhN4T1k6b5fFGpbz6qQ+xpMjBeOZqHNx8KS2ddbN0V1UOwo8tjW/
mjhdhOGU68pEaenWSzZ+YyBTUwnU9hNnskmytyWRukspTfyBKO3KB28f3oO8dO85i4LuMOFBGSuT
UZTBsa2uH7FMlO9YXTmLioY+wAkOk38HuuGmK1ckGfaRiWZ/3cf1arEneCo5Cz0nykblux9Dx//b
k9f/74zMGl6ELezfTWh3EOOx0f06mv3Pn/qPwB1tnkCtQVCajVWZ/96/hrPKxY/MBmva1n+syv+e
zkKaYlqLwFvbLtKok/X539NZ8y/L0oJJomPbP+TU/8109qSB+1VIYfIJroewnRmwjfbrk+DLs+E2
tBQPm47liHhIKAGPka2mP+DUPuvKTOx2Dnr8k8yfVUN8+pgWBUEyhsBslJMOL4NpMChi8MaG36XD
LkTc9q9X9gPC7FcY1t80PKdPxOTtEEpvekhFP82cPTipJC4EaqOtyct9sLp0EHsCMaCraVGsiWSJ
79xeJ2RWYnsbTTjTwAmXl2IW1s7kNHggR0McLNyUG3vpqaznbLyABbucW1Na/UFU+UPt9vFBnMbx
tiMlrjNt6k9ixUQb6TxOZAOmQZm/MRNK2YUs/pqScrJOjMD1x1DTx47d8q0pzeWtn9zxYQ6TaieJ
mXkP+z79QletI/1pKd9/eamv/3Udv95O++/vCZcnhKnRfwneSd7HX6VqIC9N+Oyz2gB7cC7iBZ3J
KpYnCk87RseZwwrQBqsqsYyJaWMaZrgHODYhjtXu/hRm9GjPYX41T9ERptCZGRk3U2hxogmG3sXY
XQ/ps3AUhIyALBmgJeXXPrRSMBh1dfv73+VH7PznWw0vRzAlFI7L3z/+Lm68YO3rhcSinUXnHGrc
FSW+Ha4n4qMPYxNjQ8qFKTdG2Y5vhRrpsmV5cSq7807uJ+UZN/00dc+4BoThW1aBxdWQT5OVskPL
C92QYAgpg+0wM8IroquGs66M4PaFyXMl6T/HgXzyZCcuOzJyimImFSge9tWs8rMUR+GlxXH/nAYx
52I74oyC/swKtlHOaDoBBLShDwFEFsjuRVOZ0ZvLaWXxLTJgjlLVy0VHHhkbI6vREa7GiArBNjxG
LWSfPf3+Xv744n66l+AXUIxq3PDs1p++ZuT7cIBtZ7mhFsyvShj5hI5g7UWNstPCejcSROn9KdgU
7ogLrLFvsvFd1Vnz1UEte1GH44Brr7Y10YNZttYcA3DcFySdGYGorksiu/ZMlsPpGFb5/Ob1o3XX
VwHJldlkPDF+Cs9PJlBaUFXMUTs0p3M3hfjU9cr8w4tj/cOXgG/maUvAKyP5Knx8cSqXcTd1iiKu
oh4uw9wGSMytZZ7Fsn5tzGSd1niToHdmy01Tu+FRVJIjKOKcam9BS/giWzl/b8bQ/Pb75/AP66uL
jAdVHP8jeeyTYjELCW7N5Cg3RN5SBjflezQgeu9oCehpOPz+w/7hNrigN2zvREK0WNI/3oaS/WGk
VgWINbf6ySRL8PQt/pM56XTJn96sD5/y6Vua0R1QreCMm4o4/m5CUMHJW5zK6q74k9z3s7yVO4fW
lz2aHdUVzmfLEK9kUlV2LTdgeeyjMPLlDZG7OncaYd4CnWHZLcrRK32kVsW1BwF6/V/fUs/RTNpJ
UgJe8kPK/ouroTSYj9WRlJus08ODNWKknIJF/2EXBnDy8Z5K1+LgINF0ads2KTs+PjmbJdeds0Rt
BtncVhi/VzR3d+jabyZwoIw5JqJDCLB9m5gN9VEGGsGiz8d+4sLwIVXBY4CFgsopb2D7jzsdIo2U
021rV0QTMNbZVHGIh62PGPFS+/rCW5p1PtbfT8S+39+yz++HdF2J/YWdElce56pPEm0QbmndM1Hc
1Gw7q4DUGV9R46wXVRp/eDp/u21QY04bHxI25VmgNj7etmgJyODrDW+jMxUegjk19tpchmPYFNlW
tEG/51Z7f/hQjoKfv9WgQVlvOC6xsmrJ8ezj545MpSBHjsFmyMZ7ZG/lRoRug8t9Gp/IQQK4a02g
NsMYjdr4DPaQudM4269JSMRpZ0bophhAwI6Dbqeu26o6wdhFvWPSssvAstGgjJ8Du30uB2tHUxAr
DQEFgB4C268zmkJ6nM5kiuu90a157UGZZ0bK1JsJHjFYktSP2JzNbWMF8gLhz7QOG/O8Ag211dOI
yCsg1lZU+U1fR55f1GHFF+h21umKRf8sddw7Ri791aJenWp5K+iJXhVLDjOHKJ4nnL/9lVEn9nZM
kBQHC93TnGBlv2Fqv8tITjL55yx5nhcDTksfF0yIp3Z4szPofE7k0M6h6+c8T7ENUN/M76tquG7c
HUIAHwe89S2ICSSQ5LcwvCMIA/F5vBAmJJstvLx0U8RetZ8yma/sGaQPNEJGxpOiO2snyNOIjWPP
bXr7O6IP9yJnbLyNrdCiikyh43nWQD72qHQOnVCkL2lbjJu4hX+JlXlVZepOVnG57mriBfB49g7o
TkLVjjDenZsgGuoVSjgUvvT3y2lfRgVgnEzsA3VPapk/T86a2FnvfR7FeTr29/XQf084XT7ENukk
YiEAgsDExzyqDy0y7W3bd8NFYNfWQ50k4mZIG2rSuSpz/lsZXGhv8XxP1De5tzwwmTpJcRisdVVD
/FsfYsVL3Qk3v9ENV820TDtr+d/Unclu48raZV+o4gd7BqeiqMayZUvuPSGczkz2ZLALNk9fS+fe
Ai7+qkkBNanJQeJkOtOSqWj2t/fapfs04M6nNZMf29hJw9nEafJX6iHYJ2vcH4xWqktfSvOjblX5
PmX2vs4pmN4hbcknukrURRSInUzCjNQNK6sFHJnr5bVkYHyx0T1pOCcEjzdweYEPpPYKI/SZyVNC
/q4T14KD1nnMGWvk+GK3JmEv/mVPneNVjFExzSTNIRR9QwbqcK4zJLc6hUbCT++w5tVwScfyFwXV
y6/89gonwxX7LtZPRuLs1+bFMOGZ0Jf62MbLQ4zgt8+NfDo2IBF/4thMX+jsMjetPWYcwKUJR64w
UecpkxpI+W7Xm/mrmROseu2UgpBr1q2hFhApeAL+SqNHhNLOclcxRH6sXfknbd3Pmvl8wJCsoV+5
g7z+7vd+c3CSSWwoOIC7aXPRH/t0xRqL1jB2yXun+ncgLDCGBqbev0qYdG+JLLxDhddzH9hLE6m4
tlCup/6+Q2DfdhAbQASrctcJmUSuzTeFg7d+c7paPGR8VxBQYv5wUV9ZYedDW7XTkQ4eaqu9GuuD
P93Hvf5juxAimhlkLpFIagxwOoV5lvIHBJwjPVPbxqBU7Apbyse4p6vIbIR8tsflV49p/lp2k/eI
nq8o2arXrWNnGEUq92lVhn0ZAQOVG4t+pG3aTzdmE6OJwBzSXRpMUzgGNp59Js5+rhFHbQ/tbUkJ
bUJCeh3sFNKvrdaTYaAcug0Vl4vL6ogJcGGDaImuUEH2jU433uvEnc7ZGpcXd2mmh8EVVSSAwW3x
Re5dJ/ts06rfJV5ebx3UcdbVbovKhXdBVDQTF9RmLGK2fsh6UyMnGYu2QWpAfkraJ0tUAb4Zrnbe
zq6cN6YMNCjaCfMjiuIACRZ4xIwR4PJyMisdjnZ/XIv8JS6KmlesigsFuSbSZGb9Nta5vCqdc9KX
0wqwqbd8Ot5XWEczanVHmmVLI/p6wPjyDOM2dDFOQ2mJSTbTIluvaoyCzvpFd9spxf5YOsWvOmOW
l4E12U/Ko85RGM/AKrZ9OuuH2tXx/TQ2OSxfOjY/iFuaW9VOdfyVcD3Tm5SKTFARdO3icexOA8bb
0IIyBuMzAcdCPfpgQUtOJ3ulyoiGJtJuuAlGsBti4/a1s/MC/MDNFN9x7Gj2TZ4XJ2RC/STMjLYe
o67vQT6rO9frm6vjtZe0wB/dlIH4BubR0CVsFHsz9rO32wQkGmYnu8/izv7gu26inr7Fc01CFh4k
VLHUU+l3YIr8rpXGuPE9ds7OWjCQVio46GykrHTIuQ6Wi9z2SVMdle1CvqJFdAtBGTYvzLXd0LJ4
Y9m+dObfIkVHAEm29C8kR+qwN1P1ZE3lcvWSQpJjKxfcRX5+MhzwcE45xO/1GiwfVJUqeqBL88qg
s91TI8NeSDvL3ukwwUlqKkPl0GmqW+l/UDRoHLM0aO4AS7HdpssTABZcSTQTPaHsDBHzyuaeIkn3
NOjepQONrsc01saLZaTZpcwG+9j1k7x3gmSMjCBPHqjj4ld9oM+tn0N0avMXjFxGmDEQOPCIRpAl
f8nKTXd1yXlx43e31YXecFKeJUzOaPU9yJaOjerZ3anx0TWyqOq9+pFywHZD6Y8cQlN5cSRG6T/Y
rddchzVzce631YdvodHi9HtbYsfdNuB4OBkMGHcm3QWbYR3yveFAZhGwV+6GovVYw5xu5/gU3GRG
jvULv+YzLnUHJ/FaBnrHxBHLhu2rnUGDzqY022a7OhUPfjx0Qm1nvKvHPNHrEXbwu3QG/0ny9Ztx
FuJSU6L8sGbtb6+3TAh5nc0JuOzqZzp3z/g5D37v/KUy6i4p1uSJglFvOy/AA4Bt50dt8z6TTYSS
RGhhgxxFWJG5WBLTddfFuy6uJoVAgLVLwwl7nMxgfByGPnnlikmOqC4zc0dfkpdu/F53ZyKZ8Zvf
+eYVKrbxYDGBv7OTZH6Y57n/3VPHVG10m6YvU803IwzH/WPPRvAjs7QGU5zd5iN8nQlNZcvIrjNx
mNNKGbu3scc/hjj8r/59pftFbBK7qSMog/VV1X59TNtcYzWeMV3ktlCnhJKIfQ85hdmcmZmvIuZM
ktMYKjGIsl9r5J9mU3nY9ZxJYceXYxu/OMoc+eGX2Gz7CYzp0uI55JwJaoFCFYtRcG/h8nCD+QMK
TknlcV8O5KTTNI6jHEa0h7M0D850ltGzXIhpa3MZmllshPuZtGxBvopLLB4jtCcMo8umoPdsM01V
8BCUreKbJ7tccZ7J7Ugr0RLsbcX6OFOBxpEJ19yjgsD0kOv8WnnrL8fP38fKGXcQgKw7sKjJgSTq
B/NFPtBrRcVqWnSH0V6biM5x1P3bdmNYvs/ptlvbm0REERHg3a0q5Xhv2Z25A72V7nw4i3eV8GsA
X1U8H3UKEgJQIpO1YMfuSmEWKL+K8ECdnwQzurd6Xk9j/BtK6VVO1ksn9TeWjSN9mV/40T9Sy3EO
VSKqS6sNeegNICKOUfn3pZbFsC2hJW4b4zaUIfARnCtDdVsyAuuhKgXt0X6JoyOXLjWHbjc8i74o
tliN7J6ssjWeC+wnIN5olf+eJ8aTId/C+NTGbnIpg/kZ7659aJy6/pxxxoIqm5gbIy1NfzRo+Oe1
8tv9MjciqpXyD3BqE8bUbHu/KVnTiK90ASSOFwOQtdWeT7Jsw6FrLpIUykEbZnKzS4JwN0cZeQ2+
+zAJ7uy6UBevQHDBt04Xmu4zdfTdenozuoxNR0pNBjFLXJhnzcqd1aBugnIzL/vL1+DmoNhebdtF
4AjhGIMTfF17cVdMkoK6POkf/RKHdOQgtUadFVT32kmFu4GuRadbnvr7PDAGllynsUMzs2iU7eEH
ihmayMZHNHzFq9l8cmE3TkgUzb6TVsCHewz24gYscuL1QsdxqIOq/j0gOu5mezC++Qxb0WLDQypG
uT4JbYzR7OO738wMcY92LcWDkUKr3jA7Kx7KtI0fOw4fEQVtRNLNstmPsYRvTqb6VCXylWrJO6vq
m1/rmGC5Tdv02dGieV5dQIwjo7pLRukhl7rAu4DGM75Stwyu1K1aD5ZvwHU2y+TnthR+VUmTPo9T
1br8z8I8dblL3iMXwau/DsOLXwRFsB2H7IeFpTyndBK8TsaS4Yz2C9I9DN++KK9qeQ1pcUjxxt+X
Q5aczTWh17Cbm7smV/ZRUYl2zmC9E8Wxknc6OeJHRdaCDxDay+TJ7FRxYHsn92JDBKV/Yc+ZR6kI
J7SImN0Ghxb3BmWOY5o9ogzqt8JBGZzFUt01ge4DYOZTfzH61EdOWWGI1ZzXTl45eH8wQVm3Tuk6
u9g8qhc8KAvcCjFZ1tH1uR+nJbfJQ9EhymKOn8pdm8v6kNZT/t73VffZ5o5hRrbB4GBDMaoRbDmc
56+j6QZbSy6AMIkbMW6vKi42MqmM+zbV6Vl4Rh2ZbqMOuH81OAmTDC6mzie2yXxHj2hJQ0d1y1Is
ciG2VdevIhNlKEvpAghaYy6H9XAu/Bn+F6VoG6mL8aB4CSTYpKoZNI+MIyen5GhZLBKaVyBaZh1z
It2rSJMMtH/OKSS2CLsCM+1fzcFEMDUMznf8dvtTqniO9ArP29QV02/Bgeccd0J/06GYf1KAzbQ9
Nm9AAKq+p+xqp+mwB4vJYfdfRZQNgS6Mg8uVF4qErm7xugmDFF7DAfyR71WHwhaG/VbFcf9XYw/j
ao1yWOODZ3YZcjFwpxN9ElCP1tj0YbMuRTfh4miFeDTcW6OluXgl1W0498hjVQe1SvtarnZwyESG
VZqQAu2+nPDzhk+7q2TEPXN6ZFrcshSs64ghpcgCQs81rlw8pLeiilWqaOm7xbpH3rt1YWZYeT3Z
AKR1J2jzZHIbOriC/jXTLp1sgo6HWyaDqhA5/11VsNJCaRGKXkVT/XJNpXe9KtkiF3ZYaKqTtu8r
v1rfrdrp/6boQA/GymSdl95+jvEE65GG4OGOrZBl4D9bNilPWM594zEvlrSBkQmBp4oalrCe66qc
ttouAUjFjXrMMJOd6ezMv7hacl30p1b+yumFRl1n4X5vTTh7kbSnUz6kRJSmSdTtJpg89dm3xOlL
mkQ+GCnxudIl8DUva55rjQks7tyk2Alp/yotBKiJNk9ncBieoGfub5WeRTFp3mwksE29iuRKgK98
mcd52NmGSk4KNvoj1edAt4FkdT72mLrfLfU6HJeqtSIF7G2IKqvp3u3c04ec7estKZIYR50kL8Yr
Mfs72DrFd8NxKZpAvB34qCanVo7mE529grhkMRDBmmmqhHM7DzF0xnmJ+63rp+ySs14fctPkYsBt
+JfltvKIupqcLD3/6U39p+vFq8EVgF6azDzapDa2srGdnTOxhBIcH9/gFSd3APWCe+rQsz+avk4q
mJtsOaNssTNUHKw3Ulj+uCGZeKsopaJ6nZX4Q1YppjvTt//2FjEK7HLZjf7pkem6zqmTupFnaYOu
Z51xtfcYZy4bw14cUgGEeMDceptmwSxXrW9u12nmgSuoeqEwzGpJI9wc+0+ajlQ6eJqdy8uKt9kw
9yg6hT2e9ACDpZsc6grb5dPgb6GeBNPNlotJsfeGhQwLS8S87Zb1S47ocMk+qJxPv5PTo9H69gfF
d7xytuFbrcpwZMbVRKhL9hu7U4idAapNHi/uWZgzpsM6v1V7FBIT7fqQUhx0otlAh/HQqt9LOSO3
VVCwY8VdV8y5Cu0W21gY14sfNhRu8Raa7rHnSItfmc1q2gwzW/JQWPMehprYN0ZfbnE4NDSFjpbC
eiLqneF0/rHxrQQLYpqYEJEgUiJl5MF2yuVshCKfj6vZX6u4S59oxYQrhQ+EO+BoP8RwUgc81dHi
Lbe2HdksoF3GgUJdC0Yrd22e2DQ4NTr4mITtEyDwvLti6VRIRATfKc7Yrcveezfmnv0AX9KD8pi1
H9r08hOeLcIUJIciHOZTmFHouyFDPz3MkyzwIxliiQLas7kDcb+6+Lhedo6e9InIRvaTdFilVBl3
oe0yRisAp71Wnlu8JMm4XoVI/Dfm9ZSmgM2s4o0ztnYkE0z1pZeb9o01LN+kwGpmq9J6hoBG5cUC
AZIrkDqaK62kCsB52OFMDWnR1HXo1DwqgTNX2X7iLLlnm86JW4DBCkXhxuk2SJ2E49aiv1hGW1Kl
gpzZLmgmjvbxmg1HptByxX3aqmrXZ/54HUyiGSXHe4rlkUcIYs0WYaLAncQlgyt+bpsmvpNtRZC6
IYw8Ta53T8QSHyJV6DvsNPSW6p47EFGBbUem8Smbmycadu1Xk3ht3VlfWeN9B2XgQq3w6J7nxNdG
t4w1BU+0KwxL+eCNsXtIktS4quYfj7st76plKh+yvnip08AitaLTv61pmc9+5zgvI0XkR8iUayRa
/RxD/GGR9qbrVE3GYSzd4jyzk1LXhXkrycdrDDj72Vurat8PHdGPCpUZQdd+mGpn3LueGnZjDyiC
YcjnKDvjZCSl2M9xRQ9q5+9Hh8coT4e/WMDW3wvsUVuJObxVgoazu/obzeSryFR1NKymjHALFmA2
afstb1FtnnAbh5y9pi/DOO5W5rE2/bhHEOFWZCz9j9NX6ymZJvtRjgMe265wDLXBjHao0Z/2lEiN
u4bIMEGuwZKR5T62bstVjEZ5HXZuP+7yxQf2MjBaVpT4lifZ4RZRIgry+qwzMX5Wgft7lCLZg5s3
j0sNzJ7iCO8CDZfgp3dvrcNBUNWyaYbEIbCQPqL9NswOqj1ZkksjXONXSliWpYnrsDXR1BLMejkh
gL0WgYOsYMBSWYgXZhlinx7V0SYUk5D14i4xl7/tARppYXdf65rcA6sAiZFkDRgK00oqkErSYjsQ
VHPfONirmx19awEohEmrIrNVM8ni6OGfXDFT9rVyQfbwidLGRC5CEjNEpOQ6AYp3/qoxhZ0qXThb
u/G4tI/zLmHN3Rr0GWlqndxfTVU7z16bQOlJwIBDLKLifucs+XAol0U5aC1NesvCFd7erkz3s9Om
SL6Bmhd8PDvlce8NzBfb8TPuWhq1rVh0VPC5VSF36WiVcgkI5iqkjC6j00s48XOr8K5mY9AEJLmt
I+Q40luthU/ZAlUJSHlaDgQYs+/Yj9kVfWzYG4LTTf4iiEoxcjTtNPhOMqBoG9O1/dCAcRCfvIz7
SZgUnjl9gjkrLkFCTOTIODuH/z4yH2FAS6WKq+HSFmQlptZCE/UGcuYJ+yGorfS2ngaQbwHQXvNJ
F8/j4LDasm7Ueztf0TSnmOANIXXP/1R1OX4vjeX+/qfbunOIwW6mgHNzz70utCiCxZ43WCHdu+Zw
yOlBg5fOj5rLoOa2GCvcJaSiPxCKOzp/po4R5uDf+Z6Lhk8kzHEGPOFrefYI6HP/bR/t3Dr2lfpO
DbKczLkeAXpTBlM/2iI59TlBAsecsPI6SZ1ciFJQyDyX6Wfc5i03Ykrf+sS49xfzd0f6eJssljrA
KMiYLi3E2PNgr6vgiyDm1W3nDyfuyePzweUTD633OBf8WzIZ9k7dNefAtoPQ63jQqwyxkULhm8nG
HK/s3TU7ZIFKlpeqirgGcFMdhIMJslx19WfVZEY6Kk2AkJJFrVMbw2vMncmhEa7GxxKH8Oim51tg
8jUZFRmkzEakLt32nGNgMMriobdFHJmzb25NmSJSkDCLP7gvVEaEK63d+oW9HnVjD1+ZmfdV2FG2
clqH3khC7RY5B9+MsXA7sOlWQIMYVYQkRTdLngQHGm3GrcFVx2L9qZqzUdbuczsFJgct9NPMEAxH
3Pyzh8m8XzQrLtrq/JA1bre1qBT4WHxubVXIKAtlg86q7NHrqo9pMu1LsppxsusHe/lSRlYcgCtP
D04weB9Q0k3EL8Z6HIlWN2zyJTAe5lIY7YZWtvFWn0bNAhRu2ruQhn64m3ILofLunOkEezCuT807
KVLfjGLXLF+5wmUEm7t9sVghuUfj5ASCeUGvi9dqaA/dqKadW01vQw+bqm+SVwbIe2VK/1AyS4rG
tQM5it2d8GvnonHn4pF27CFiXclehwZQAjA9biaaB21Tekb3t16zs2pvAZeMFh+r29YwjyOvmNiy
EfLDVWYo8KmKUsumug2nzbhxLJXsgqW6dTfhhvFAlma/rBEgEKZGNR2oBO8+jDpAW/Wc9ujmVvu7
LtBjt7PFAzJlHVjQqg30cwlhdA5bcygORVxwa1jphgcdX71aMzzo/YhYR5LDoYEHZAYl6rWXXNK2
OBNH4GQBEhwmPAmp0qrKw9wFUAA6YyTc61TTeiUEVB8wnk391kqldZCFUZITb0bGCVCwP3JWxZ/V
7Mywxlzz7KkY4Mcwq+zkrg5LGF1CT0PB2EzTCBaxbogTAR8aOmTbOMfO0k4deu5UnCfOMXc0mBHq
H3vlME1LZ+zQ/6qvHwyL3uOBtzwU1vhWELLn/rEShYJdsp/oIORYZx3xabMNTqm7d3tOUBsupdYD
N7hmk3ZMFfW2bddLrYg9ZeJPU8wi7PxR3Be3E++0WtkVv15zpldpBHpR5k/5unoHPkr2U4Ac9Oak
lh/JQLhbqVcYWq4LQWHtrdAtmjl08px1q7aKe3xOWJF9GhapsphOrLhzqDnL7UZW6b1nF8z9m+42
GWtj871EbriLmQJtwXun2zqzveu4BtkDmU33h6pFIoqoemweBdmqLSgIsUknQTlYOk5bNCQby7oJ
Q6IQwwdgCvfZ5Pm8pMrkUUrsAd1hba4uVq1NwxwqZOfptzmLLAKVdo5GaxSoKcWSbSVph+esUsV+
7L3hvY1Z6xpCSTk5TJxtt8Q6r7gSY6pvoQQmS4k/9JHfpD8Us1qfrpbZ42L17ZZxIkhkjIobAmdu
KH1yzJYB7dstyuYGgF9OqZBsOUmj+elMTSu/xSQ+a0lRn/btB0KDTzxQqPWoSWFF5eVTKoiqbse8
u90cbumdM4WWqtwrbr3jvmHxhOna9frAY91yfKQLYTNVMj1SUJm8+q3RL7eNiGRREwDdCAXvLJaB
NbivtRnDxqq6HyuBto7mHvv28Ejj23KsjdkPi0LojsQdxaObdMjiS4JY9MzTlb0XtTI/aP0pt57f
k2AXLnDRJl4fvbopw9YfuV/GCxHSoTSND1yXw2uxWghTsmqRw1eTYsMOUgq2seRPkKxyq2KjiAJv
XZ5bYtn3dVVXVKwQvPb8rr+jXF1xHzW0xfjF/OeWPIZE7tqTyLl9Ebkr71xiN0foJRQtsIfcaLdy
2fUU55wRWobjSjPRd5Ek3pvdc9CmmoyWZiCb6LA+PQFZnu1oO45Kax5/C0zyx2yyYrBq1gR9NaWS
ICbL/MQTWXKkdrrPxtP5D3AStHT64J5934KPsHDfUduF8TEOBkrh6g3+Rv5boJK8LElMEx/DDSKN
hh76Z1pV+7NTNK17NmStCeyYVAy6Yhojl7vWoc1SJuhrYTwtdnoLsxHXOtAGU0bKG/CokBngBpz7
LzFJgXOqKICwTB/RprQmPs989IjEMMQETvuadhUWEoGFau2bB9GIV78Wf2ysnS+VEu21GZ2YBMqc
3U61jQ6dLHszRKcflzHxX2zITVex6Gab55cJqXUHfWL8KBqvf3JNe/4QMVkNQLTjyW4yGY5+PNLr
qD68orQfFnE7H0xVcSaiZZ3qsjf2ZZJWT8mQFWEMI+m31nQltpMFqKrSGVcVg9UBg9WBuyEAw1ZZ
Q0qu3nGPpd+3e00pxGeVtBQZDstq/ZB45DzWK0NsSs7Jp/zW8FY7HrqsQ5MuUZY1TGg/ClvnZo2o
R8nSlKhjpTx0H2/Yd7Y/3qkpbgAkm+aHG5QNay3fVQXHqTIviK3ZSa+DvUOzzflb/ZkiO6M4JhRh
Pym/7aMKfulWpLU8jSaSRl7/ndBrvJk9o4wpYuQYHXSbBfIP1IrUCOM+rw+th2pM8/wndQ+/cSn9
kaitNBL4BJ3N3exjUWt7L9+rtvlTeEWzCajZJYNJYmopWPwWZ0sXBU1FBDr95m2GHSzn1afhgMEQ
FXoGc+M04iMbjqZDjso3j6VWzxQ+HnAMhb6h08OS1yVZ3AwHAlOhAZQJgyxJu46qemOTWOKwGu1d
aTuHMV/unRb1G8wpEyH+ykMvyS86A6AzJu4Zl8lxzL+oe+koUE7yB+lnxbPF/OvFrbkxNittZF7V
mPv/sTaQCzpG95FfDMm3SFPnoa1tY7fKpNjXfda//mPO+3+dGPn/idXn8XH+D4fi/8bqO32D8hi+
i+//zIKY//qqfydB5H+5N5YpmQuK6248vv+VBLlh+mirNnD6GQb+wlsJwr+TIKb8L4dL5Y3gxzeA
a53f+ncShBYEWuyAsfI7Dr+gjOH/oj78v3tgPQyVeA09G4sjGPR/ysX/w4Lq9URWfVb0CI/yYcGT
DvnzL31oOyIaWxEPF3JLf1tilpv/eJf+D9EC+U+04T+dvlDXkVVcdCDGi7yW/5YtSFLXXr2V4hyP
D+2f2IHCOTqOw6XZ1ZRdWcbq5Bx2HM/e+JlYr5RAziUfrRSUiNmrv45Lcwv20xErUl1I+dHIpTmh
yFuggbLFqbZJ4qLPsj3LJ6ds5x4Amk53thtji+qwnqye9u8EFZM7YODci2rq1zYlh6zN7HWPU4Lw
BO7uJzcYU6Fv7SgdBj8nUqw1bX1dqqraDMSSPYHjfkhn7olzl1/t2fQ0BBNtnzE+mU8lgYaz34ub
Bj4DUrJl/pIEkn8vXuZ+P9tedVncJipUfp/bef9QKN6KOVhNsrNwUAh+FhlfPC2s5MzI9I/tCed1
8Hvc9f1oJo/gurp7t64oroV8sbG8jJVaWairWEnzjV3myRsoquDquXqOsEopqAUNKVhrvCy0t2zj
Zkg/YFpQhV10tO9CtrOb0NZCPk6iH/7GM1k/zuZBl0AQHILfg5p6tNPJw0/QBQYtfcxYWcd4xrYx
rQjXvmlv1CdnYXpZWjifNhVBl700ZHqybIOzK4Ole8vh3m2DUDnPGT14Rgb/OLIA5zy1ovBDz+mN
+6yfcQ+puX6ak4mmjTVJB/b8lk0Yl2VNnQ0+t33jjPO9zuWwQ7ugZ4Kz3C7PhvVUz1q9trX0R3a4
HsyVb7vNmzULrh2DkExMikmJPfPqoHlKLJtAbeoUXODKZRzirSYlDC5HBXRcsX8fPAMES4h9ZX2r
SgvfyCa+uaG5spgDhHjOQ4/8ualFyarNP67wXSNKGH1gvR4CKt8mtDtDi8QNR8a7oYu18jj2+oZ+
rJucTJQ2mmLT03CJl/XW3NQkyn1zFwScaM0XL4apWDNQnweJ8bnrEd4btoJjTHgZcbxx1QNUzOGr
rS0epKI1PhCG0z+AHtQP70x27Ys6ePQBrtGntZTMy0kzpx/s4Bn5lBEYhcUh2tl4hqmfsFvwr0A5
NvEHFcEQLqXvfOH66EFk5t4cxo7GJ57pHFdbalOsjXfR2nFcXJ6tZrWvtUladzuZ1rDigGixsayB
nn9wbBKpzpNJUfpgBl+9bNL3DiqijBzZNTg6ygJjZcBBUg94v/xxNOeI2Ob8XVEd9zqBcYT0icj7
3WZ5W28UMaqtSVzdDT1GoWBsKFD6I/rMfE4HVb0xv4sv3mz7H/VYWnjY7JKUvDXZ2HjiPODSbGqC
yOR3q+fGa6FGLSPm/wTrMlGl3Cv6bW+Plb3LUjnkvO8l3mNv9q1NknreGqUGuRfq9lBtOaiaxNsQ
vxd/1XqfFml3RcuDsBgkRnlai2I2b7MdVpGCedK0QbIQj4takFXMQhZv+SICaCcGEnzo1X7zYxhd
bWzJGVaHtYVqs8HO5i+shJZ/HClQI8I93jwlKpf5k6jK9MkafHcMOyjKaAS1OV0yLB9v/EgZ8Suv
QkORyotix+ueE8w3W0c5E4ZQt7qURLmjlaCst1He3H7AXm+YFbEMfU6G432xmPMTZfRMopWgGp4u
7hsCt65OaGhLZkWrr2BaT3rVmAabqRzfqWDKOSbewihQ5oEITV2zLOgYGNm2oCz9PA3e9FYaXY6U
yCy7J1gSoKUZVmB9kt/XtDWMrosCbYqa6zrXxYc8wKgiXKle5TIjRvZUHsooRnb/mFBsf7fJylQB
FCVLekbKD0GHBgY8dmUKywub1pIcTRquGXDZNt3YzPLSp8bA3xVxprXvGu2Bq+1LGzbTIm4FGgvT
fvXQNVWGpgJG6XuKu5mGrSTu+qi2anhVNToYoqDPNMduyepOak1Iydi1cEIenA6dAHEAk0gDcwsL
JD4CpriQKrzFpQ1Imi5i6NzhKMKxVPElcr0LgEeHypLxA09S9+XjKHsQRee/cWGt7jR69Gnl8Edf
Vu+VB0ov2EFh3izvFZTAEUNaNp1JBMk6qgpW6rUuoFLTLdtCmHUd/3dTe97zXKDdZo7hobhy5Mb7
Nfrd32XU6aXzbJWGGR7uSBvBdJbVZOKJYUBgY5d8r6lbwyQnmyzMfbadxCuTAn7/eqJhGjnQH/sT
rktMg3zn39j8oDum8Wb0DRfeIgepX0nslmcnHvspGrkdcAexb/W3lnJ94xAnizFt8MzE30ayIDKN
3lAs9423UB4nPQ01yCadvoWwmuWcy2eJoZO+GXI06fJhr7b3wvKrnmYEij0pseUT1JB5D1ByxuwE
4vCzgkkBt7rH3Qib4Uam0PC5jNAaTcoV+6VgKOMJo/uaRnd4wo+oz/EcW0+G32PDWyYRyjhbX10+
SD/cHGLGEkzRKdQs9xaynQplw4SCgtOh+70iLarQbXvfDQPkHlwCvWddMkpHn8E4jMfRsIryvkWb
+HTHNP27FnGVUqDYoumQT5e8cXl663wfSC46x3V2cOc1SSzBESrvm90lu3C5SmeWLexXM07qbqWg
fVAYjjdtX/iPRsyWH3Jnd2YuejXOBmF3NDR1tBbPdtnzIeDaM/ci/wabGZ8b3bzjDEE/ovgQF70J
57Tql3THwQB+wjgIX5+W1PG4s9vpFLaLW3phFTtg+aiWVzTNlQwU44UaGsgDTGEt+dNag30CCyuB
RPhm0oUxZKUDfg/vfnTMz9aL29ditp1fsrCCktgNj1kUWD0+U9PikMDQ0x/+Sk9gY2lHn3Y/J3Pl
1bC9JN6N2l4WFPMEJ0A6UwMZkcW0YHhM2PS4cVZUEhsyB0cM3kk0p1E7zvs0tDxRFRYcDkKlw6aP
9kVNiQE/DD2Q7ZIN3vzbQSppWKfL5CPrakYfYnTmRy/D3/g/2TuT5bqxdDu/isNzyMDGRrMHd3IO
TkceioeNSJETBClKaDf6/un9gam8N7PKdtQd2APbk4pipCixQfPv9a/1rcCc9bCLEwKvG/wH9Nll
dERdwUc13sOk6QFz4CsHFEpoYguprXu1axyZG+oAjdfIcOGL2O2cYsSzeQoooeFNWNiSHgA34AGM
horZRFrL+G3MSLJuZ2yq7WkOWRxsuASQ+bM0naMbsF72vVnki7/PR3fMN8mSA3aBcFyfOld4H+R8
2C5SL7xWMAZNXamt3VnuHm9t/Ex5wOrhg5INGTCGXITHbDOYc4NnZ6I5ihQcPYmdZfyYrah6ocOq
6BxoKNIQmxQm1SbqfL2XCRZNYkakFpaKf6yKxG2f+qzmXCcGIzOgtFDCDECuOEbKgW46p768SyvD
2I1wUvaibfKdp0LJK3cIL3PooOZ5aKV7v9E/1CIs6JCl/QsIcroDbQsmqSk9dYEy05zTeBpJTqS5
d79Yc1LuzE7FD8Zs6RvRj/z8uCmeJjnyuMptQjMHv03n5xAiz2PbdKuLf3GmOejdqLU2FkXOv9D1
+h8yRuHelH4ba0pJQpNsK6ebX7aPh3e7cLrGBjuXvGJbIRGHbUgxwiCcEAmuQra4MOcCq5/HX4nB
Dqhaav0wLjxUNlURVivrAj4NOm/E3jDsukkcewkeKYDGMl9JLkSG3lwDKly7UM0sJuzgSFQrXmNF
nX/VTPM6yJZ0ME9Ok4NIsVzQWoCD78t5YU3sYTfAsbnAfq7Jz42CosoSyhOu/LofzU1euNgk83Dg
fT8nmMi82FWPZTgsADuA+PgbXpR5TdhroDi7tGpYdxFLW7ySVc2EZMiZH60nSzxmWu/J5WbkxrPK
vCY5BNSnawvgP5HT5s9z76sWm2wf/8w8qEib2guZiihNZ0S0XDDnm2gU5ZPZ2/nj2Jr+h8CleBxn
oIrweblHC07GJV7mJn1LWSmae46xzi0kptna2EaRU4sLaOdaRdSkQpNTQIaqwvftYBhDycNBstrg
NVzWd1he0mHbaS5D1qL4aNze4JjTysa8CC+prevcb7phPzfSfPSKxmapm/8sFugJm4yNC+KkRcnv
ZtB0cB8dN7Ku3GaEzNkNjJBxNyr/KtG+eRU22AZ4LEP97FKnubSoY2x2MomDXDoc84apSg8JzIjT
6EfYW40y/UD7NSlvp6b9mlOyc4cl9NrygaiNdXnSQizg2jMsqa4OOg5fu9IeEXZkfkhKdlMgA8Vm
FO5tyw1wm0ATwO/SVbiCcdHDzFJwX4c2JizYZaTLFw4WC8ZOAlL9BuOKSYanSQ5FbRV3mIn0RUNh
DTqLqRGv9dyE/DOzzM8l3PKdwdJmA/WS4WJK3VtahijwLvMjoQxrmzJfRm02Xii/NZ/MQoN/kWBq
MfW0zwWOuC0lo+794Pr+TlXpvHeK6RbE5zQGwuldPMiTOrG/lkAVcY0OPKGUGaiwTq4tK6OZukn8
ZWc2efEVlxvQlgH307YMFQ5KHt4//dY71DjkfuECzy7RgCLYDYV6KY3Bv/LYnn0XlH98QHTEYscP
iLh6yR+RPdvCKgGKveNvzIzL4tqehypesRcb4rZ61E1nHgETYdUb1czqXsfsoagm2Aw07R49Nx6+
IV1mr2FvLiOritn4NfRe0b7S5q49BoAE4mIRAkw9NCkmZZ6kFMjDhI4IgPRV/mFYXUONVcxkOcSK
F1g6rUxhq5qzcZ8PTJNZ6qs7Gnx8uuv9ut/3zjhwxjErtiw9i/6QYyaTQpCt70xso5CZ7IrACSYn
e8wCZqT2qvp87HR8aS+dK1lokawMzWCCbxvy+BeLcwR7Vkli/jY+bVG2rB8rr8d6YBeW+9ph1/tZ
OYkIAylUNgd+66uTGoCfHomRtRH8vJgherRz96cfsdVIUHKu27Edv4KRAEZlmjGDaW+lmLi0JIUq
ozrBxCzBqPe2fQ9zc4CX7Js8EkMfp0SEl49IZdWyf0rAuzmHBCG72qZ5MYiNOwjz3DcVG/luYHrq
fFCo+9KYuh/I2X53+N+ifP7fx8qRlm0K10TZdPk/AkrIX3TAf1JLz28fb9nfGk3Icf/zX/BbOFVf
KHRFHORZ8VlvgkL4u9/E+WKLVWOl5JKMtOVDCfgtnNrOF8e01FoaJUn2O2u162/h1BZf+PJ4tLPU
UNQ7Se8/I5zCsflbrN5Y1VdESQTIv+eziXSVmZV18TEfPb3vLbrENmzWI0WHnAYEZytOP55RkDm2
WayZneNdlWLdzQ8gTL9yKDQ6aFwzFO20T5bjuNRDQDCxZnbORL7N2t5kDIpca5enhdoNsoqvh0ol
FMHphWJBkoSvqJjTbciG58NZqu5OUIEebY0GPy4cKTzmwZSGsIUtjlSvLAstNiK5LvdqaIj8DlLn
1V6JxXgeObkz5XlUC2y6kYmHfZ7APQwFN/6K/mEfMIUuDANeoVhMDtHXqfJAv4L6I3oWC+su7Mzu
IsC3qUfEwjJ7iKQaCKJzuJoCVd7Ys9PzUTNBQHNT1s3hIG9FCN3Qmxfn1i+99qrPmfmUxVNlo+rG
Tvf1MmTvmtGy3Fj4JKttm0bpdVop91wUrbmnfDe/soyEB50uw/p2kiYbQUCO9kNKGdo3vo5wOTu8
cuttOw0h7p84jqJAyNZlrVnp+FthFOZ1BIAsOwig9AUjB10nmFb9WN7m1iBvpqwjRTsq1jZKVUm8
BSgoioMqJUtoBlLzOSUzNyO0YGjYMqyQFGxWp88E3XZoeU2zT4PqR9ItIgKJ3c7vjmowBKVTdTy+
mORrGny6ns/arjCWw4AkTlNKQsikrYuvGLgYlMGGze1e4xV/p7snHg55nnfj3izd9MoeWqwQbJOg
4kalwVPSEPOBXH/0DY989wS8uKIlItLyUQuFNcsoY7kTWK2mHWw13E443fnfpWz4xXMmJ9kqjRtl
GuVP1o2ifVkcsCMgcgwJAqJA2u6CJNa4Z7Hx9FRhcNibnmgWYOuP1602WcppsCx6qGALdIbBMrmy
XlvHT26Kz5Mr5yF8HoIzbX/MEjfpADIn+L2FNeoj6T7Ar5HtNPzWxpwz3yjix74q65vcisWpyAzS
+X1Ya9R9I+OEpDPmVhohWsFJE0LBlTvltb/hF+PYd9ZS1h8dpIYpIHqIiUz5Y22DnmyLS56BtR0l
R1mgbML55RPYkQy6rat2dHXAOWfkRc6tGR7rM8tJR8A2isTz4pXNXe8XbdB4DXzMovXd/awh/QWS
ipGdihmVCZsCQHbdNnxT2DQ4j/GT3/VWjPzV4JnMdxP6WgYbOzd+5b1e9h4u+ZOiCYkUBH7hPTL2
tGtYDDUbyeGdPtKJcytdJOWbzfpeXNIhynfh4E4bPpo4tueQuYsKT+6GEFjIK69pxDbUdXwJqe04
gSuIbjNTU3kzu2h3WwREbNyNPXKsg/RURd9S6Kk8Mxq7eqq4KiEsqjD/hf9e3Dc2qYxNzkwf5GHN
aYW+m4AOG7FrCHzwTMLN74LuibahaZlYv6IGijz2SnxPptqGVULNmcNN+gZfpLnOpoUT+WQty9Ho
LIAGkoL7Q2hoGPLYKozHgYgUYIq4dU4R9wd19jxoxaGz+/CKRvrmxwybsEMutKJ7JCIwirZI1LUf
lsWp6lYJa5pK+2Aabb8dCLzuAUJNuwhHBM57+IgbjCfLSaas/w3TIyPNKAjrs+1v+KLllYQ98t1L
unpH+qmAcp7YRuB0+QrHwGy/UfD9ELwI2Exp1t+zfoCmoG3IutR8EheH25rcQQvJd1alOCNQOulc
m1o4u9bJwp1ww/eJrr8DK498V/aYXfCHR6+i0d37zLLQ3hiwn1ZLYfaKwcBbnW4tmyCp06uRMqPD
YmAxn/GfPk4T5+O4s14sWGd3TtKoYBCTV2xC15lwWA/jUVZ5dO26VcbP3U2u/DhXMYzOhIqLzBTP
dbOgrJVJiWczMZC5Y7Yc0caTEvm7i9Lhh8oS8x1j2hq4wYySqYk9FY/gnovIToO+GUjHCSNJuyAi
1XQqsXGhYeukfISSjxCRlu7FdSf5gGXIPnluCwi3dezdiKd/3kQkQB6RtlHDE59MlhtxDvCmIX6s
rCR8iV2xYCgM+2pdCmBsb/sBiTwvTP21mKv4yg5j9zJQ8EwHFfcsGGHXzG4cw+6PcRLbXxOxTD5H
6zS9bfI6mgPH1HAtzd5jcRLNbRD2afcwQ4j+xtFnuCgWND+4d62LFTfqZ02V956CHZwKrpg58Bqj
tJ4FUAueSll6wjOd3lCFzQbIHJTcUlNAaLlfsZo9HP8TT0oapgpM4iGG902mjOkkKlrIw1xO10bO
N8sLGON1SDgHnGxU0ikAsPy5qU3uY2Os871J4RtB6C7HlJ77j9SZGTA8+kpQbBOP7h7UfLWNbTHd
lCwdLdDd6JW4fePi0eJdvXflkF5KKX55XkP6c47mjFYs7AFkdoyOAnOIoU7Yu/4JdL1sQFzK8cnJ
nfInyintDlkD7xKDk59u+6GETy+n+Q+0z//L7gGTOlFPwij6b3+u6P9pJN7Gb8VHEr01fxuL8an/
/szfs7D7xffZd0iPvT+LlnXi/T0LuzAjfWGabO8xr3lQiv4chc0v1DOaSjnSZ+L15X94CGzzCx2E
1AC6bPwRVCz3PzMK/zN1EeSAYuJWfBWmlP/Yy9nHbGJpz5sP7tjU33Rdet9rZN0bXzBEIAs200tn
mO9hZjU//cbmvbuOTaj34HtlO5Y7ShKanceh/ntjDSVbjSrCiZzkH04e9c///6hWdIScH+fq57/9
17cPnRRB0tI6+6P7qykFDuf/+kq8f4N90nE5/g8+69+tLMJzPSWhQf6+1v64CF31hWsM0CdnL2zD
n5faf1yF+HO5apX777jT3wcyYX/hanG4QG3b9C2Txt0/b5PfDpL2Hz7+K6zSX+mof2PHYSdRHvcB
94jHQc/9B9xoaVaTURhduzfBfOYHI1ypzPjcITS3qnThQKzcZo4DLXSJT55zzZsFKOiKeW4bnvos
JyKfgGBm70eYO2eX1oVkq+eVEe2NTcV+clzZ0WmvRX9WEKVJBANZyGpv7A5zw9JzMwwVFWERHkPU
F9DUPUGrJkigOJ5i1VasQXqtq4OLjPuyJBMSF+6+KdqhQ5as7kowDVuzCKMzcrv7btc1YRJPjYdp
UP5lyUjY1fgWdrpasq0ir7Sr6j67HwTYfTQP423+pG6beei+a/KR30UfsWCBppzqjSbMFe8jCbR7
ML30Ofdxrm9qcwV6M/Fl0BsHPT20K+w7mZ1GnE0PBDjZlRDBep5ebF9CCB8Ls6LPp2XE038wxD95
4oTLEc/zbuWMu5/M8QEeOvpRs9ooIyAAt7qxat5bVq9eqk9uOR16rDWST575mNV9RJKyab7SW+C8
+J0F7agbYzI9sEHWfis7x4jxSUo3sP7a1/5AwdWhLRAZQTQVDSHVon/u+y7ljNF1Ld9AlksaQibM
mXVapO9212fnJZXVJV9Z7bFlTd9UD+uG6W+FuY9TXVxV6Ohg/6oRuwyB6CfdFpQHLCsDXjs9sl0x
1+zFTeT7p/gTGE/PUUTUWGG+qxdZ3ltulNY7voLpaRi7/FJUdXxHJVlKkzs9AswlcOltDpTf0z9o
9ZRSeD4NOSvG3l+J9n1XDc0Vxm7LIGozAb2HYzuLo8Gb/M35xOKrT0S+5VVUvlDKUvA7swaa/IDj
Prb1QCgcpWwGRSJToP5V2XYhZk52JFv1CeX/5PP30D9eUlLWZ4oZVAY+fmX5D59c/1jNIty2tCUq
jgVJYR/GP+D/Y2pXu+6zFMBkcqYkUvXnVktxxx7X/5alpJsVS2YCn0XLpKoGvVyoZqNsAPxNuekV
jJVk7SKwqGa6ngYKIQ45HG/0f9xnL4Xos2vvs8zAKsl1MtJ7gfVZdtD0dneVhDPRcXNa9z6wIXa0
ZbgvKkppYdBgS1iK9gbNXdXQK0ovKkH3SC2ak29PXbovG9ogzRIaPeZ8gzaGcuyie4l7mtxSnKrv
5pjUz6mZ++/u4MtrbxywHJFT4VzJioHGHf+5HxJKPZHbJbUQlnyjCNE1byO5zm44OvAsq7VEoi4W
+IlZ38urZpArXT6npnZvN1X/3Snj9j1OI+B2+Wc7RfPZVCGypbePhEzwBUSU4DDImwM6a0gaN77m
mDaSZkm8nuUCYbFhC5iWBf0EUYuGjM+2jHotzpiRfK1AVGufhvIt5kgqOrnNY7Ob4ZKbCu9SxQX7
Vkojecs+uznEWtMx1xR2pGt1R8Edvmw8kAo/GpcGeM+rnMNk4n2KVQ96S6xFIM1aCeLPnivZ86xN
IdFaGmIsALJSgu9bDoPqTI4i+sYVlW4pHeOq/Owe4WUyv2T9nKMz+URNGxPP76bOInFwrA7hi4jH
j7SRE8DJdkWyUHJSfPad9KmFrUB3Fj0ouPSWBx42jn4EUhO++anhfxWf9SmuVzdXLVuW73Qdhf0G
PwVhAzPXxnNt0r9CfMX8hR2BQIefVug0NUtgXHpUt5jkLT86u8YakH1Wu2CmyPwn+Vn50kM3MFgz
t7O3hre4zUZcnhAyP+timrU5xls7ZHyIsCSq1mYZUlFZID/rZtrP5hkneY06umhI8otNJ6r+LV+b
avqRzhqxttc4k0P87LPSZpQ1WQUKJ0gCrdandVUDn0FhHTwSHy8uKkNT2gzA/k/Y22nNWftzOuCV
Fey10ecMCpLg2ISdTB5MIqcOfzZMnrA9s0nqYz/fK173p2wSBB4zuVQW/jXT+sA8491ix7dfDWPQ
F0xu5d6u6XjKo8lPLjruyB93IiKVZTtj8QraYToWKEL2tl9bhNzeJTqRNKW/M5ZaEVYZ0Ewfo7V9
iOOn0AFB6frV+aOeqKUbehumePwk2lS3TSZ863jaPE0h5Vpx5AyzX++cJbxw4KQCifwzdUh+5/HU
kgYtSdiWJC/uLDzS5GhicVf5Vq69SpnypmthCHHEDQLCT/cxSXt/gJFHJ1OYdf1LO7cjuBq99iNK
Ck9hH3IfGhsfk8TZGRobnIR731NyF9hu/VxGuL9pNiMyk8KeKBMnvE7spqeRoZUfU5yap4giiS25
K6xHQzUHck5ooEKDC2vvJ72J7wRijYOV5KzUQsqmtz1+tXTjRJN87rKEMqQSGYdOUacFqyRKOdon
6TqZvZ2xH1WnUVKVzCKspMvTNrB2Yuqc7XobeXkPdabxqQyZYv+DJSdGe2F11lNc+cayqWjddIhZ
5/70deHy+QjxsIGGGBh1ZEwtDLEfsLuyYw+3KDM9Utll7ATBRq4VauZgPPgBbeReG+R2kp5KCil3
cZp69xk5OWwEYR5g4KItz0/ELz8Ju5cc4lAwLXP7btAiCszAlUkwmqsaLJ3Q/erhfiALj2dyl+Fc
wLRL0tk9z2lpGN8kdY/I1+OQlFsgz3URiDohc1JTniV2mgsmCnRF488OeoRNNr+JplOVGPbX2hqW
hKMsTqUd9hq2fF7MeV0tdvvTr8Gdajcnbyj9Kj9p3QIX5IkweHssRf7tQmRxrYRt1M0I7eNsdmKe
t53Vx++6au0rp2k4godQGN6JTkBC7FQ5vwKJ6tJglt26fDP8BQmARZVHZ49FAzOpa+ZQPFILiHMU
/IBsb3pjwRDCKZHZWJDEBGZAo0NXovRZbLqifWKIoiQ0A+X/o63n5nuPXfcKZKKPKYcoFCIuHoGv
GHExAUJBpRjHsxyCNa1tpbe9Z9Ejw5qlownRiJeA1UXjwj9MND4By09xRZvQVsdmffshBFFAhp2X
p3uulxuaQxOxhenoBxqp925US/nEKogtKJJuefJpD/2ejnWfHgsk3buBarAy8CPREHhEiurPSUmz
4C2s2OgG0QgZ3KbM4s1xVX0nKu3eh23jkWQSbtcQ717gjulecJ0MDhJPZue9uR/aNGBNjxuXQuWR
eKjT3DkR0BioTyySsamQ2uMx7jzh5aXcEaARLUmQBLN6h5jv6+fIScufiGsk8bJu5nERjet0lJI8
pyqu7/I3BoXwfh6mOTr77BRZj9fsCbltCMHuMp2gp9GdiGmAB/RMjSyh/acsxDfKe9nsbnscndcI
4sOOW6D5qXvHuh8zVsQB+l9+Fy+T8U3UpnoSw+QcxKDUzx4XzLfZ8Mdr33GMl9kMMSkSLV7uxjLt
sVtajAuy7gSCEgaVA/I0tqZRm/7JpBTzGQwJJSE975hnl1h/F2AlIGIZ5WaaHZBISfdJhaFrS1Sv
IrkPboRQngHbj25yWNZHKEMaD/XAbqgcYvuEh8mFfGRmThKwZ0CXY2dSo8rakIKuls7Nrp1ezvUJ
ixa8sSQFsRYAalK/hmLQP9rGh++F7FSIXctZ6kmyhqJ7Lh6nhmqFmKZgFlwAua4SSHvYB6mRg825
jOOA/w5zufHGFsIjK4PAVQZwVB365ot06aYtOecKVKjplv73ehot/97BvtAeFFdaJfFhWI4HkKR/
wzeAZw9s537s2Ix0U+7tIoHf8jCRVToR3BdrEheL6pkiJdb4vS0x6i+kuNiK00q8MX3n0eR9A+Em
nMM7bM91fsnJG8H0yRYViXMusfkdYj32+U774BXBVEOf29p6YPGCLOk0SJAFDsv6Jl5KxiNaknva
Jq1Ky68dC/TwyrHaIb6FMtK7uMfCcDymbdIFE/XPd52HaefsO8wkj3PO7v2gMNXZ+3Za4uTkII9T
EhdVjT46TTjPexpW5/ZVL7P5ppI0w7lLPD98zdwIp7gH/NtjSOrskMp6AneYB4eWwjFBvVKytVYy
SLzqzOar7Q5tt226ZsQrH1ZrMY4zqzOv73o8Zr4FjXXWVgMmgmhTiVPx0KE/O4yB7vQQF5h+TkCc
UnMfN5XtY/7vSSeV0hu97aKtkvrgTJBAIz9hBF00uge6olV4BbZ+6veYl3l34S7zwqui7udabGgj
hIrDm4FOTJyBefsyZYzbVT3N+oY4ufDocIqdBVV27PzqqjCpXj+GvoqJrDnai594SbntSU4d0Oje
HMfzMAJKJ0KbtIP+FruzTN8t7uHyLuq7mWodlnwb0GtIzGbrDpe0VuolZbgDhT13lRe0fDt4n2Av
LEcr8nE+xoZEwfdDx5ObxfC6vScalNzFb4zrRGcvig4PAm4WjYlxVvFOlGH1atiTol3KXC5pG92n
Q232tN1l+CNyNa4LIHugSG1yqzgAy1Bfi07zmiow8P9aEma9k+URjw6QGFZnQx7PP1i32PapHa2I
gdUcWorCh/6Bta9L+DKyef87M8wRuzbIrsr8vo/QtAMMWdl1NHHHMrWEwPZCttLuFo7d8N56fp8z
veP45i3UaFK6HIXzY9I2xG3bYY6eWgIj/D78JXU2eRJZt7Nr54LtYQGQnc82k40sBtMI4HLBoit1
DNW2a8zpMEWF91Hz6E92Uy3ab60lOTEhYTdv2nCLE5weA5yNF569KmeD0+nFcjd5hLEtWLRj36IL
2vd1UspDUqX6lFK4trzbFj8Od3Sba67L7pGfvDrCPzX5/NKzyt24tKfKLKa3CHDB0zwn3fNcR5BH
rdQSVwMEKPz0uHi2cJ3zF6AeHrSfBu8WHFvL1ME4OLDiCrzf+VfV9zXPJdvXam/wjT3VUcb6iXQt
0BGKriFv+OEIH5LDPubaEFRk5yRY+zBYmUMw4mjmiV0rd/d/Vt1c1fofJeHBhBwN8ttv9X6Vrf/2
we5Tcrzrfzbz/c+2z7s/lbr1T/6r//G//PxXhEvLxbuEdojk/T+X0b91HY1M2Sqm/1W+/Mvn/iFh
+haao/B9/sa1M8NycG/8FtI9cnW2JQB8I6j/VUe3voBlhVZtqzVu5ymMIH8qmP4Xj7S5q3zPXlV5
PuvPn8O/oGDiXPlHBRMh1OJdZbqe9JU0/7FyIERpdGz2nFHqoGBSPLAaCxxeXyr0nLd2DsUdiVMC
blVmAmdZ8GKRsnfF3pZttx8dGN0oKwBxBpTIMMX9EFffejTOYsCsTOWbE8TUsJwwuQ3vcdJ3JzOF
C7BJu8iglJpTe7oZfGc5gVVcG8dwwt+HuWXvC8zet8JGx8tJAx6pW+SrcHtKfFJaHSHojkejqJqf
uEMZkr2MjhSlExXkyvK/ml2fnCMygLtZpElAKKDea2ETteh0smu71L9ObUtRir00ZHdS4xCntvpI
NUMz7lS6Biwq8A7l3JsPkGwSen7dGiCG8PAST0DKZDcuV/CjMWEr+FZi8UCf2znF05tYNG/Q6PlC
CfQxRfm1JKUA/XPcxhKjmAXF/W4kIhe4dVVe0Huqd1PnNalx8ywXrG3KvIH5th6M8+My52fc+deL
M99RokuCS/YXr8huDH5zAYVH4O+wTFJN0+DiTKHhlby5ch6purqp/GkEGEI91SOeIBb3JWIQBHuZ
3IkyvW6wk/I01eTxCgdZ1oeNRvvPTI9Vx1Q/bIpelG+Gbcw39DmHryqdnFO6+NVlARQD+VAY7mOO
1HcF87E9TqQWbiaqnmEAYBkKZr9b1+jKyk6unrzj0NaQSTgPfxtsx7VgLjj4fqZlWEu3LYRf3ziV
ojZ+tCCWtmC1MYZzpZGihPbxPOYuMXPs1BsdxZAAXH4iJIp08pGwBNqZXJVHFZeMzaUTFwcTnt7r
QEz21iuJ2YMsSN+bqnzpUI7AC3FAIsuX3etMDhdkFfephMKJ9TI2z0VSe+eUkt6gttw4aNrpHALY
Pw/mVOyb2jaOyhyzQxghPnrG+tIhTFhSGJNxRYPQRVEM6dqFTnrDUhM7fw5Xbmt52jrPS1POQOFT
76nzRCy2YPviU0l69GFKOERq/KAXYeW93GHIHd5sxx9RC1Zo5cJETvlw9zrqEC4+b9Ijuwn7EbMy
AoI/liMQobR5zYkyUEKdLihY1FrC3FEo0vAoR4ihgeQQTQIxM6i7gZJGfonKIPxLE+B2g3+mcNzx
MriufmKEbUbQk/wqatod410bsXncFINdXi8RxGKbkebKSwX47YTTK48Li8GYosivaewoMgwyv4wg
Oc+Dq8zLZA0+6RDPmR840VlXMuvajtOGRdxMiegWkTBeXTr0cAwNyXtgUKsP2fKMaw0Lpt+O1oiv
126L9FYsdnGDTTy7tIyOuy6cih1QipwNnpyOHvNffeiMsbrzSf/fEhSuzjH4jO1QdYDcmDPsve8g
NRK8z5OzSEOx98rZPVtxO12bGPIP9PV1Z3YO402sc/3qVPlIZUdIe+NWzN+qUJZq61R2+GhxxHsn
IUIH/FgrwsF18+AU1RQkcmBpRrrtgJWae2teUQmYb8Y7n2zh3ew4I+DJEq20gt4R8EjdgXk4GrXZ
HD1OR2cweOZRZQ4ICcqqLpj+9CVxPOepNsiuMSWVP0fcLws0ilIcw8U3Hry5F5BqhfNkhbVBOLca
02tYH9hVaSS9dkzFJV3Y9q8iC6FrW+wZ8JQBOKim5imJ+4SLIutBRlEusSNd6e5TqayDILmyR5OF
MbxELbiFJgUt24roQXqaujAiitSv+ON8WlsKzpFOFiZt1zmAjUcKTJsliBh4TmA51feCWPK+bkV/
XyP7X/gwxD4zet/JC+uDxpu/70RRfxVu238d3Lx4xys+7LHP61cB0/9V+VpfehpLD2IycMMsmeBq
d0F7Ipm5W/QBcWoywHwWni25dfIsBqOYQ4IYJNFQmHgnuVj6wlQPvyVLfnAu8ck9YkmOG57xvNV0
WL5W9sK4NffePa5g4A3TfPJjL3okZTf8xBA4Bi7q+YGzSwHhsRe1tXNn0g6ovTHknkaO496YiQcx
f9rVmcDo6h0y003TAyTD4c8daYri6KQUCuHl2kj7ezM3V+wOjRurHEBw+/CfE0QMo2mOPKp31qyL
rSbWelSVbnZdYzVba8qLatdA9IdejYsnv8rsDjGB34lGKOwLBMEYblzGfuoUg5Phe7EieOwTeYs1
3sc2nydzX3oUf7KBrACyOOND0y7EUaRYdqIenX2h9HAPhN/Ruz4q1XHCDM5JFNAL3nu1GdN7b7WY
5rpvL2bL+6zq7ewYKlG91z645Knix1NwzT+ytbe5Yit5g5ndDuYyrAKrLeZrsuF4rXBnucO0HIpR
5N+hLn5kvLRyHb7Fk9ceR53jxy4wf+F66gBEAswNTxjRS9JFeBFxOnFkTEvzQc64ITcNQM7b2Ctm
4Ea+Qw2sE5sycDEV7nWfCM4opvFrChv3yhJl88T9UZ89v+qP9kJvrmav8KE7PRx9UXlXSOYLngqH
KExcXFZnwSbPZxavgw4f+AVofqaCzUpN3OrNF3OH0aCOv1rRlAb8QRh57WQdKvhHl9wuzHObJDDF
BnPYDXFUmVvTYI+7H0XaHpGmyPZjOVa/tAH1JjQMtR+zTNaY5xqaNCJ/THZsrVx5cIsEBpssjHug
gFGyowNxOBbT1BOFbAuXpTSbqnvmi6S4ySPDiIn95OhzPAa28ckELuWjbtbpeKumqbkCf5djsLWT
n5onzkw03R3RM2skHLpPvtlap7uUcRdd1LIe27U+HIrX0vGxB6k9jJM9jDsP22di7mxlgjpBLzxi
zGKJ4I3VfTuOt+CLN0VlY5hr2hOH8TLoJ8qGcNpnoHFIRAAJjbZNO04fI/vqXyQwPtrEIYuaD29u
tWJsHfZet2g+7rFfeoBYXpJsC5ZjZ8+Go1JX5nC9SPhlZQiUwFsDVGPO66nFM3tl1/6jWEZ93ULb
3AlE04CoDNE9PIoUT1AChQ2p2Mdtn1ynRTHeduR2D2E5Gg9dprvD6FjuVgpcoG46hx/ICPaeezQ6
/Hf2zmw5ciVbrr9yfwDHgMD8msiRmZzJIqteYGSRB/MUASAAfL0W2GVX1SWpW9dMT5L6tQ+LzEwk
ENu3+3L8pjYfw1A90VngXWd2kNyZjGoHtYz93sgrC3GKRqaECNLFrnl0RrlYsaNOz7IBjS4h+etD
dfb75CSptH6nLnvaBUYb3yHJUqahGx/QFw/ORuXuzdAAaDDK2N4lmGoxd9lDFukAREGaZRMRktJm
e1FAaQdmqX3qOsx0n8PqSzhdaeNUYSw++4Ecd5acgP5PnvUYE9zZydZ0rwdDwJKanQL+nLa+9ZJk
Me4vNoXeqE9ZGTd3vqaemYTswjIoMY3sFTNgT0Nz0ZKMtFGXILDeOllNubS/ON940BHk8mTAdJB5
YucAp73KrCpge9XT5p4AGCf4GFwDCSmfx6KuDh5KCgXbvjguBaAgdClnjxRhnuqxtRAg45BHzVzX
7JeK1a5WTxdl9vcsx2DOtOal8Jd8F5TyxYibbQds62acgXONtIah0bvPNsujjResfomGoaUl/oQQ
bk5XrQv8SMbUHG/oeyEprFgQeUNlQGBTg7e2m5f6AenSezKdxYUP1ce8AjJaMlbxv2lCFCQF/nCa
/DGn/REBMEDEUXeZpccJEXBj2C6slDH0rxDKISshNm/zWhvPXSimp8Cywtc5GNtbkUKfDmbRfY8z
ne+ckQM+OUiRHNJhbp8mavP2pmvQPOMXGdGo0LirR0mBQ8ciZY2KEVKPQoejhBGL7JWcumFwqKkh
LYu+PrSj7+ycujgHQWb8xOqSbG1jam6NvFRH6Mnfhk6t+K7W3cVdaGEMGXz6e9w+Qudqtj5/e1QX
rnvjlEWxL11aGLdUr0GSTn3/Byf15OCKMd9Qb/DWjO7d0A+PDicU0uR1sYXbjK9ySed70O4X2tCW
SzYC8XCLgIZhxOwQuAiOL28PEBqR3kyk+yH6DqOp4aDXRHPFoXAtTGleFoiBYttm0CNAf3njBYrd
TFUJp13ckcK7bxo13ioWRcZ+4nZwTapLfLqDmX20MeGl1jEIOJJOeGiWYg438KpByxNg2YEw9s5O
PxhHVxTxVuU4xCMREMMAIWhOn6OaXunZ6vb14GZ7R1bssybsl2PC7OS1+HJtdjHXsXYDwvykv1gX
uwsyfDNi4bWW7HYpap7QaS2uYubXu8wkNr2xpzF74IsenqZw0ieWeeNpMTlhA2whlJb2HAUrracn
VGWX/gbOCxrOaT34QAGM5iLWc/b4deQuv47fZGOMM09hDuVET9SON1LgEc1X5VKn6a29nuTtr0M9
IE7ryvo66ZO4m7g/cP7XRtBfwnUmKNbpgCU0nWoYwhE6E6gvKifk35LJfqrWAUN+zRoeJzNuRusI
Yn9NI8M6mFTriFJ9TSvxOrhomfKw9jSc1nQOu509dAY03LVs7mvkCb7GHwvrfHvsO3+Ce+tZV7Ta
h7vZaclzy4ILNyxagrOu5b+1tSk22E7xF9cjAXwQO4cZwZs+rHXeWrrlsZUOrnSjfTCABB/JEDcX
22ibB4LehABpd49WoigF6xyFr/wJpN2YrlteFuIegfoB42zAMQy3eR8C8DDx9nYuhBZclXckBvxv
HZ8BfPZ1ZCzW4bH4miMLMPvXadGjFDBkOriLIwhfTJ7e1xQargNpSwngoVuH1GEdV/GwJ5eOCbZd
R9lsHWqrdbzlj1wHXUZeuQ6/2PXHO28diIN1NHaNJPheOzBnVV68swNBzV5H6WUdquHnEmD+mrSX
dehO1/E7XAfx+WsmhwJn07LHoD6uI3u/Du/TOsb3XxO9XIf7eh3zl3Xgz7lJV3HP/8vGvdoMX8pA
sYoEwyoXuKtwICg72f6m1f1Swn737llrbefvMCjr64bK2RCXovB9F6vq70XToVQJFuQ5OJCdf1xe
7dfuzXjtHvSNuse8V9+iuP4/r5MSiVsbgP/XGunTW5WV/3Hz9jH8LpH++rFf8qj5l40bE1B0SCQh
cNaW7P/0GQsLB7LHbTL4Z6OxZf9FIyvmX9MOPZ+zO8bMXwJp8Be2YMFPOQ6fKifM/5LR+E9YmU/J
xdrYKzj7m8L802eM2BMM3uTJHeuvOysmDF8Y3Y/KgVsl2bQjnFw5bMmOgwLu8Ns79T+5Qr01OPhP
l2hgmuQNQ8F7gkrMC/3nSxQDHj2QrCN2VmksR24d5O36lPTXpKZNT7YWb1cu4FWN6WFozezSszT4
yUqKFFM7pdUu7fE6rxTd6WZ0AxCay+SecUJNWNgy+6qT7EgyqcJrO1MBmQpYkBR/EnI9xiZZAdn6
99gT3OK6xVgRdZ73RIVAGPmJ4B/0F248C6vRW4dqHxN4gbpmxQ9jOit6+Mr9si8hucC+LJV94zuL
8WSZHTvetrKXe2g44iICZTxxMJwiWlBoLbNRM3wCSNc8+7AW0rpFQAg4EmF9HlyEdjecnocDqxf3
HOKlOrgccwGE4x6OJmkYWAiIcBdHx+/EZc03kJgyskGfDAZF+9yx724Pjm/HhyRj1y8NHG6gtebg
RwA9xI4K0YoHLG5r+q8KV7C8wbsGV+E4j7m69Ik0cLHQ03hP7/n4CWLE5C7JbnPDIaqeI5OV7Vq5
p/WrpgMArnSgq8faVi88ktzdGDNyhqI/B7VzDmseR2DKaB2XQXbIO+OHN5jhtTk4E8+WYQIINqhB
bIqCzObZyzESHpdqmm4GTHR8WEVxRlGrDmXqkScMEjg0eRc0l5ob3iktKa2x6QJ7SgCMoeXrZMsA
seyVwsm7DHzcyirMN6Js4OTqVlEk61fTgbTbbTV3aPqUQOyLVrbXtsFyH92u3riaPadvqOBo9UAw
Qr45BPX6AVkz02kbVaxAI5nTQ7JvjZKPn2KsfTi0zhqoIv9kiHBPZgarbj+oF7gFwQtKpHndEiSR
U+KeA6uzN2q9zntCNxHuBYcwpwyfRm/V1auh32rC1zvbBILvVmGLX7FLKW3DW/rkC0r6Nq4ri8cg
UWA7R5cwL6G60FDpFiCrNWwU++gfeTDYnDU8Ig68xWbN6VeNGd8WS7vF3lkWcFW2Fs64r7JsQcf1
7ffaiXtGGmbtjZ/3sDJJ0z5qO/Y/l0TIR1+rkH2RovNpJifzI8/EdIGJ5zzZBSuh7dRMnX/jUGqH
oXAieoBdyY313jKM7uCF7vogJwBFPq3okubUF4l+b+cpI8CbC3HJUXqsH0Gg5sPCsSoKoYCsdGwv
f1eTRGWt8mLbQS19Uplwj3XTnVSN4yoo9d/L6kqo5KT3aHP235jb2o+Mx/pxTtzsuiuo0F4k5EUr
bvEiJ5093nhh2p5NN2P1OExW/8zRKvyZx3Z8Mhpv2Rr0MUc1c3waJapyj4UJnX4LIVFdQ89OKR2r
5Ysdl92uHLR1YzaL+8YZmbOIbrK/hWfRrVPr+qEGhfDYgGV/q5LFu7MY5A9xGvMWToF6xu/SHMoR
Hl8/JdVrmrvdN1AA9jPJEOeUKvzBLavOeMt8y2ZlYKA9tEqVcHnJmqqIZL4lf3LMrJNzasuEsFxe
Bs6zIHUGeoyffJVLfIixjPwdx2S+j85sDsvOSt1mOQptLNSmAMbfUei7D+YUZxZtDhX95IOc2ISZ
HfYMoC200lpGyCYmH7M3rrQJAjUkKG5I0H5prMq4G5MYA/CR0vRBKrClu2xr2wNSmk+506VvEcgW
e7ZwKjhwkNd6n+AUd4H1wzXcEOfhMp6YgOMXZQsZb3Nj1MY67WXGLo5HvjbUYiCQAajywbiE+kxH
pwbWVfeEzXBfxGzDCzriUC4xx9qAUeIEsF2dT+1NL1MlrhDHCX0b83fgUrVglOWNgaVsPNaD3X6C
kh9PaiFNqn0B+MgcUBU38zj33dZDknzl4gf3Ui2gISKMYaF9KOIej/2wLtI2nQZLElV+14Nl7mn6
2Di6tb5P7QgbpU8LtLjUJAjrDV3/3ai1coDHts4L8AfzlWEtgx4DDZjNIQs2Zwm3Yb/IvVlSrEeJ
ZPih6Ey8MbspzA+225s1OJclXqJyiZvDnOBvifjPsjNOWyyHSevbT1AwPZZzDl/6TeMA0p9zyR9Q
FUtBHiNdcGVqK+/bTVLklbEpVEEr3IIaiqy6zBS9NgW1I3gx3YFiMc9epn3wxXSsOCkbG7E+d4hO
Nd949MSswTAqQmFfsZDFCogsVlQkHxkMoxUf6bCcuXQrUjLDQxxuzBU0SRPHujdKbVRjSHs1DYmY
ElyHr0O7giqtFVmpYuxOu7Dy7dt8HL0bLA0ySjpRX8CmYPLCpHamnFmDBMQZtyG/ktcR9ZQhzeor
MtOwVnqmNleSpgN8Zf2iGxwSeil2iRkGH/lMQRvdMBlDXFOE6m85f9kUV1anSWPSHlcDJ6FwhXlW
DnXOLCV6yrabg917012qIYAuhU6+WT1U0EYgxcUA+QEHppQFgIB0o3Qliao0SW+Vv+JFxUoaLVfm
6LjSR9MvECm8dWg1VuqZSxRgfdrYjiuvgyUlRbj2L448kJEaDo7ZADllr/Y0rtzTERKUj4LZFTfi
i4ualfYNiWkPpJFvZA9TD6IM46R5TmlLoFKH0tMGp8rKWzWaxYo4k+2zlcXKAfanM0LLx+pxW6y8
1moltzp5y+/jB709UGkk4kbDeC08EVXQ+/dOa+vV6F0HdzoFfLTxlGVDTBIrMLbx2ubcFFBkecpp
HC9cVJyDOAj9Xa3EWSpjgM+iqywPnsg93Jp2Bp4WT6oJqjatSGkLynXoOR3kJ/ZsACNOkPU/WZCD
Ham+ECTjSiPxVy4JmXU2zx3MOnAlX+iSEuMXEzKcNH1CjGv5p2k/7MFvDTUu8Lk7q7lfiDKXDg3L
fuLyPGyHbHjpXSWAOJjQsqhexP/JUcXb9B4FLVjZAifb5Z3p/Vzawr9n4NXfAGfDuOvGrLhKArsF
0UhuOttJZTbPXVIpFht65PvE3jm861S73BSmHI+y9p1/OGqggOQUV3jBK5XPsDYna8DCTNHq1J5i
4OYQzqhY5cPjBt7S6FliUO3cQn6GhcjS/Yi4g4qi8/nRBdLBGK4mLI71nJvu0ZwaeRmMMFW7OWma
S5pX7d89+iy3+NyaxvVzISMQq5RAluU53MSyUbuUlne61Ld15SAFomAMUGdx4y07JzHm+BbwHyJn
nlh86u288AblRZiV24IDsbt351Q8jjKWxtUAzdXc5aMQ4xXFNWOwBy/EoYP26ath9MuAY485cQKm
/xYymFNctXEO1QrjSPDULlq8+Knp4ceE2nhlOdI+V8D4Lgs3nYJbeuE/k6Qa6/NEmXMH+0dTjFVM
a2VPQOyGI2s7teelLo23wOiyaUu9FBt0uAyyANgFsRs/eaDGPYhBQjx8JqG8Suc4finLMf8m53LM
Lkvak+J1e52cykbiIJCd8Wla9NIWsUX+zeSpcponzEyUr6X5KxEWeELYyvoXPu32GhWLhp+lsvsT
OApGEFUK1HsyZKEb9xeqwUr26vFqceKl72b+CIganjPdtDTRpFs/BbwH6ROG6rYNO/eJjg1SK/9m
HrPWMN/vigFTZmjixiHZ6gYWMcJ/HsewHvRDmTk95ZQmgfM+oda8fsRo92qH1aNwax6sfor3SmU/
FIWF9/96HlwFiT9/vWeagcPpznRM8w/BooiVqBDtV1FadRtjaesLb355/te/5Wui/fPXwNZh4jT5
Pe5qPfpdF0HmGgW17+SxEkz3wzgAWPCxgARHJ13gNhRjW4HCDev0gyoHQwC1XXUbi5wFC7vZPcFx
GS5eW/UPBZjo6/Utg6tsihsW8vMrgb02oo0qqaOB52J/h5G1ifdfL+L/dK77/zo2kiDa+i+j37cf
mUrfftdifv3ILy3G/8vhEnMckqx4z75Ctf/QYjCxOVx0EOJN5ysOjlDyK24rBC42l0yt55sOKfLV
3/ZLi7H8vwIisiS0Qyt01gTvf8Ws5nt/CiIeFmQrAKXA5Yn1+k+AezZ6XeA0CAstJwQaMwkI1Bs5
4TpKfQYPFmPhfmitmDORi/whWBxfLK8u9zEbzDOwSoqVJrPC1m9TaQYZj9owAbqYoFasfXkQGKmv
JytL/Q1nGuAdfR/QBpRpebUyWV7pli+3WKLKE4by9Fihx1IANcKpVUN67Khhu82w6/YbPJ5jyKnB
4Z5ZFQKTaEOLiN4Ikqb1SQSlc86mjCohhmO1i0n9XGu03Q7KIjbJTRVOxicHPkn/Lmeod+7UMBRN
HVxTW5VdNUPI/ZPjaoNn2yaEZAaChygZGoYfUO6U42ZyBDduo/aORFC/MbJ+14uZXWcye4rlskRu
Uo1UMXnyjShOenZElz7EsvfWHpTy2sxycZhGQ+1Mn5E3o7v4xN5sPSaap96Q5Z7OsmUX8tbtrCRP
sUWTujXrVD/IWvQRubjrgPq0s6ANhCmx+BAJw/rAGP9A/ik/1RayFmm7+ce0NN4FT7XJQcqEoxhl
XgEQEnO2fVVgglsiZdqEQ9QA3BX/mhucDdQBwrO24YDkKC3SBO2kc7LGqR88W8li3nmo7w/hWJbh
aY3sqI1JXu+2sCeojAEowLfGT3V30pDTzx6IHbkxG5xCTUCLBVVUwQp5krnfnplUSnQhBjhnY/gO
qzeM++GdGgG3R16Pp3Jfcwa94uiag5wpuTWaIDeyLUvgLNt7DtAplsz5TRIqQc+Xkf8wxkHsY0Uh
XZ3TzbJa8sqHDj7/c9srd+f2wXRB3h/ZOvvQXyRN0+QipsDFxKDl+BhY1BjiGLHFy+BqfGutJXXU
UuByT6YOcz/KBTE3GTfHAcbWseJ42UZ6GOcXnovJe+dm+b0CUrKzaTHtdnk2E0HRvKRxP5SYlt25
JA0EpDl7SP0hOOKtNI9ekUx7BJ6qjOICmbBr/eYa4Fa/T8ZHhkyGEz3ufSP91mh8MxxmxxvK+LqT
pfz8O6vs4c6lKIoRhmNIIOtb2LY3UHMtoqrTcl90VMqggfGWGbKJpFV1QNldG3nLdXu+1fOUsuiR
hHFmAvccqqSQy24IMRdF2JfcrWOY+pPN8HcSvwBZOxxiGLKmU4IHKqedyO8QaSvn0lAff1UvCmEP
e2h8mytlSFxtcX3GeSPjvdBWhoxlZv59nZXqm1XItI+mtPSvUZXkK2dH2mcs2TLJ+uSzz24L7gnv
pVDDCe6WR6nxaAfzDwfTg/2oqCLdKrduPnDaN0hbOOS99oKTfw7lxurgJb4YSTpNpzTHQQekfsSW
RytwYf60vTim06kBtbJ1Zzvjo2AM2+jBJ0cDNyezIxDr8zM9QtbWHfrqxRKTU12RfOlII6EcRkvv
Dvk+G7hN07dq08fku0P5gm6qD0Mo2eziMmZPG+qLhXGIh7RZP5fSdSmsER7xz6CczA/fz/2DmuLy
Woqm2LPMivdjnwMhrefFvm148L/X0Gu+A12DWyB794hlhKRSSzVcwCj9pDNhKUqrMG1OUel0zUcy
9s394njxZ26o+ViQQP+Qehp3tTD5hy30m2RX2qjDmPdtVz1lBq5tADMqQB9Mm2B6oP3VH3e+UpO3
9zv+01OCq3fbA47Wu4wGHO8Yi4mtazVgHbquK78VpwpqWrWDdKaHjVUky1POZF9t7JQEHTlMz0m3
KnCkd+BEl4xRoMLiesIQzeMlsfct0H3KINjzbUS7Kgxhg186hKNAvf1tqaryQg4Sod6ZpmndM8Ol
58GzwdjZXg0erkyS6J4+zNNUIXNL/exmXYJyHyJJ4Fhpfwz4Tb0IebcDO6Sn1t1iXrbPWHdgEXc+
CRZKxFp/DUnWuorirJp/muQz583I5vk97QwszG0O/HfT+hhSSJFRvnegLckWO7OaiRQ6GRzfTZEy
7Crfp1eDhjiS3uyrU4JYw5CAFOAGn2GdNeVZV6lusP2i42LEcfR16TT6yJ6Ob4EyqnMzl9lRx/A4
NvitpoiM5ddOuH/wp6Hfq1Kab12/PDgjxktq0ePhEaOPg9hoKGPFjMm1F60efTKnDM9vNLvDVy/a
yXuRgzuEkcN0mhyLfhkBmnXeguRGf+bCPTvvI3PWFK1RbPPsWr1+ZK+NmNkgTj2yVgrPHd/hzWQI
58FSnfNiqLA6c8N2rqihAWecy4Qi4Pl6CQEjRYSH9SZwoTWEy5Xo+cIi7pXLR1U2jN6DvcbhaMnz
3BuIdMqIKj5K8BFs5Sklk0w5B0oScVc2ciZfRORrvrcTM312U3tc/3UzOBdW5SWHzG7s53zKud/h
zO/bq64Je7mTVdff4lWn4sIYRfjSlmF1tCiebbCCm519dA1rreIzYoKcXsp5bQNcDYe9okZwxenn
eXWroFj1u2BU5fcuLsxbCZ6QOLiNZTKS41xzhgip+TAJ7X7vaCG4HcSy1prFix0BEVGPirbDN7IJ
Lm2Ag/IzXC0JNxqMTE6UlnjFIgGu/JZX3V3FqWGqo9eamh11OqhPVaamvaVlIgF/hVLrH5t5rUyX
g+1D1GLGVFFqptywvcUyVJQTNLr2JxPQCW2hHhUYrtV+gB9yi8ivIfOotLPbyNHdT9Zl5ZHdh/9z
ACYPTH+KA1rYheGuXOxq2QHtA8KR057z3Y1xWLlmPr5QS42uTTdxfj1azXOgO1dsSkV4aOezQDzD
A8bRVo35sE2r+oMoB/RaihZeFxAfJ9kVfObj4A3UMAPEBGZQofzRqcA9JUfjLL2gmPc1IeG7PGPR
tqHByMBFZuckb3JQKt+zoZAD7qjQsvaJK/TrnFaCrHcBoWBnBE5yNpwgeaZUKP0k9WLzlR7X0s1m
WCWobKm59FDAuy26HMnuRAwKJUc5Hplb2wu3sciraByG+NtIW/Oms+FaSK+n0JsEewTjmx6XOT1w
IEWpLzy1kXle753ZoyjAXDwUn6lvrrDvUl5I4nNn0iaBU6Aq1IvOwgJBA6sMz33uJwVX5arhxHAJ
y/bSjIl+gkSMQRDSwta2nOl72K3hAzgt3XtCkCmLljS1f04Vae+Y+bholu9p7H2OWSw3Btzto4rF
CCMf6wDZ0xk8fziguB/iuEI7LrJ0OcyoJfPOIMb1isI5mS9p1xgUu0y2e2cDcD4tINnlDt9f2R0T
kqcWZOSBVcwQ1sU7IYOpixZuEFvtNGiPXpAaI9XiYB0lj4uIZctymrKyfWjCTH+LezZvLpk4fVA5
p0zK3870nqQGrAYS30dDVQH707oGSF2LUD8FaGvAUDr+aNsvqnefWphXkeFW21KVYXxK2AKcOgWm
bXj28p47kCmiwbRbaoqLBsMswM+LY1oJBTG+Hd4VeS0fESJcIgZU7UHbnOvuh0dFBT09bV5bWw5o
8/cgmNqf9Pjx7fD7ugvPfPE4GGZ12ryF3qCeXGu0KTewxV01Weo5sAMaZ+x2wHyJmDbznGVRELE8
CA8IktORq0enqxg/fDhElrPjWux2JnldAY1mbUSZitQB/asseMZtrjB9szEHSltWDpYq5Sek3Wnl
nLlU1uVlyQfY0+BLcUBtWG9hoIYry9PJtaZpoNwAu+QINvYJ54EKAyGHAztGp5vXqtRwVpc59oCB
dOPcGlQCxWZ4SGun+uQmAYJda/+6DMwcCzH4nB3vGXX0lHZCfOittNjS9RrHLLWabzTtjWe+rHRh
Z3RnjK2NOQm8zSaguBDWwaB33FWpE/IB8G6RLGIKqlm3st1aZgiVSRl+JJR18aGzaX2fBje/yJa1
PeZs9q9kW6X1jvGy3U5mmkSZUYh9OzM3agdndiOmM5lZuo+WgpWpnZZ0QC/1XeN7uYhGDKxRqEpu
LHQtnLRUkpS70b2FpQlWNxjcH1mRLu8QRivCKRjirucQpBBR/Xq7TGXyOFRW8QqL13zMdML85/MM
uRlpqNIHASgUy6Iv+gKyqEvkvjcpTgBlKc+Cr8UOCzggCZOddsChoK4fZ0iKYkOh0HwfkliLGhTs
cTuQTzvPSV3SiDz15TeV2tgQFw4XWwlXIEUVVOkHq34OixBfdh39owew9UtCOXGdEo0MhzsPHsyp
5AN4Ct2xfOR+0V0Sm5fBycgqOLqsEVrNA3eGKfLE+u3K4wONGb+++zl32yl0kseuWZ7/tdy12iZ/
V7u8Fd/F2de0fQeIl/MHwKslheGXlVoOXYBYj8HLoUit8YyznO1iIRwbr+m//zTA3P3j3/7dePSn
kRM2c4iA6ON5M0Pf81bHyW/1d4HNR4kIvBwKaeX3rV5wc1FPuaU1yb+CzekfrHpKt//6l+Kh+R9e
pr2abODv+QLr0z//UgGTfYn9Aq9cmpQXzjX9Hf0dzdY28xQVGc2WIdAjzau7z/8vxf3vREhtBoV/
Hx/9jzv59vGp0t8VuV8/+UuRc/5idoO1GJAdxdBqcbn8ckf5VDna1BmGDmotHY9YoP47AM+xXE9g
ploz6a7ND/1S5IT9F6oeV57NxW6hoYn/kiL3x2VlhcKFSW56nsmd3bL5E36/lvu6Dz2O6OOhzfvw
kZKT+ZZOOQ4WdpjJdyNcirMmU9FG//pqZq2yau2/f2+REx2MAoFLoF4gC/7xmyl1LsBa0HbmOUO8
z6Tttm+V0DxxstEibokKWNAhJfXwWmIvWXaT07RruhSLPAKGNr0D9GKL/B2Y4e8xAfweRhwoB8fC
yI1DFDSAqdqYbqgKIe6ouZkSFB0sUi6WJh7B/TqY323dbex+lvVB8O37XkE6eqMYPPxWmXmV7qDc
jfcz6cJ2W/TsoLMUBvQmaGOspqMlhldKRbK9a0HSIdR0drImO+hkP+uFvPtSvyOIRGnPLRhDbbNV
cfNzLKV1YdTI7wHx+S9YQLqDHRs8karWqqPUdbwm4qESPxsj/VS7JTGa04w8GNXx/Ok3nCkI4Oxj
bCWnXpBMwcVxByje349TBTYcfSEyrPob2RT4T8TCeLWsqghVQWkTNFB2deTSd8AjuxkomLOd27rV
22ACCSRsKt0ThKZIyw5HckvHMhzpGhezzDH4iDdcQUx9oYO5hH67FCp3YstDHZd7Ldtx09EFwvmV
WZWewUi59EiptKHDArXsVsuhu7Dfo/Q5lvTVENLf95znYCM4A6KKyUIhITrS076+K1APt+gV/aGn
JuskiLnQEGS7JwfH3TpbkQ6Tw0AbscoOtiaHueAuiwa3FjTP58MeaRgZpSrANrplvKV+mIitlsYO
w3ID1sJKylNNydpHa40JtTkgB3zDM24ow6lPFnnOh3kpVbGtGQgJ/gyEeRlXVjRpbtpkeIO0SrYO
j5tw3WNiydC2o95w4hZN1C5AEyJOvv73ZHCCa2g21jvr2+qj9+ccf3bR4goXqR4ekqa4mDRKUfyG
YHWTi5DGJVa3iekYVzxm2qt0qZqXiqU/73UuOUmZS58uO0k1MMpqmBrexgTs7kUZ9v27Ci1yVTDd
lX9ImG8rAEjfOGqtJJssm0eHqqwD6a+ywiqWBo+Va8iORJFjbjsq2MSOCZWl+uJ7wbUpaefaqG4e
7wUj6N5J0jm5SpIW0lWHy+G7wuEPzwj83E3n2/SwdeD3HmYdmCeAUVMdeayHWWU24lRYuMoYvoLk
iH3BeWoIXMXUsQXZzJu5gibtGVwVB7eWA1bVjN/CpGPVG4Q+LC5vEquA4ki9C1yddFez7q3Ppmsx
X9mV9a2w02449JXl/F17KBl7Ds0oxbbqbKzgy+waD4EHAd8LO+wbiiYv6BZC2hHQ7aLcUHcKMl5A
UtxkHUeH1sRexv9sVPbMfxgWeIH8fZXal4txGzvzh5cU76pKLxbUjdY0HPRNeEzVKMojlSv2recQ
Wu8cWEY90GSGo+ICS5+ydAoIOHS3aov/nUx8293U3qLugLR/4KTxqKSSzI99mRxN5Ovrmvz9XlBR
vvfnqt1TQZ3dpbHRH2gjpdJ6mcSu11PzvniSviFAGDfmnIMYx91AxFgV099VRcx5A8UlO4OZx7+Y
5zB26XjEK4p13LXe/VxnV6UYyjPxntsJFyFOQWX19tbiAOp9ds1sldmGgC19gxQu8b00XvsqAemg
APx7lvvM4c+ny3Ac7um7pQAnzYinAq8Yr5Zh+WztjvsHIBSHzTJYUGIf/vVoE+10ClQPdiXJTldJ
xkqW+nHDJPsaufaAZIGm/0DiqLCfRgOTGypA0Z+KBHNJb1TDjQIKXOxSaGUEuPv5liBUGs19g1SK
29LnymJDz90ieQ+wf26N2g2OMN15YfAUIg6zvBuTEM8BveKowCYczAlTHPY1UGy6uBljR0U6iY9U
gFLgVblXkFP861Z4KVKg+zdPp+wGDFF7KGWXYA/hSlGn3C6mqI1JwO1Y1MCjyVRi1VuDZPEHJWdQ
QpENzYtPYpXmXQiXapeuQUeEq5GwaDo+UAhXvHDML3YlDPpPauWGw5zZjMEhX5iDi8tgPLatlzu7
cRyDGzxZ1Tefz4m8uCWPM21CH8PoOXdq6uL3mRWL86i6ittsv9RpT7kfBkyMw57Mt6yb2PAbNOpR
JywXHMDISPlgvrf46Dj/c7QuhTWefcgMk6xfDZiDVZROis4hjFW2D+MEZ/QhIzrabZw2CCABdln/
pLHJpJvYyh2qjH2wqLMnEW5G3d3NQX0f06K2IbEst/RWGndl78Q3kwH+pMDKmgXO3gT1Ar9zJVLC
XwePe6pg2Ow00u45BzlmuJLiFFyuvIT0OhzNj86ffs7c309a0WIKG3s+ZQvYegNgzNHAK0zuci1x
FeWlRRXHESaJOI9ssuOEFqIlTfiQiV+eczf5ltj4/rpecwHEmtszSKyNxo6N0mks6UM1EaBt8mxv
6HiXQZ3Y9/MgLiljK7mS3mIq87OPKWGXFg9jf10qpFMEcLFppolxTkErSlQsD60/t8RLLb3jLGhH
yqK4lQDtc1yiqjBnt7vK440tuzq+boIRYUW1z9pNmcOaWh77kNpWjhqwrDxJMYYXWAfuQMEZ+gCA
4EJ62P1EsXVhWR0ZihmYc9ZfxszXtxLO7cTnbuqSOVPIcXIO/42989iRXNmu6BdRoIsgOVQmmT7L
ZNnuCVHd1R30nkHz9Vr58CBABpA01+Timq5bjow4Zu+1jZz1B7QAte+Yi20cp0Pw1KeuOFMu9D9g
7fNLTQIhdrAH+yeZNkGUWUMPerCKpx90a8XNG1bzbAZF/refhYTMU1pHSwfTR9aQjz3ac613kzBr
0LuAhELlmfFfM1nHgxSLz0CxIJiDazbeoy8VKaBEK3lSRsDNmSttnqS6bxTszPlim9MCdbDnR8Te
ZHoZTUXkTTza8qSCkrGb1ll5YuCWvqjAIk3B19YrTLb4T9EjaL3nu5V7hv1pzsFkxceM/vqk+FGb
23XOgkg5Rnq6a5UJJlCLVvva9PM90x/r3QHGsoHyRCxYiYN6m9iF+h7zytRAiAKv5pdQlU+ow4xX
+NjZIU365czAGGe0uehPVwzleWyZq8B9kskDBkgYJD0Dr9MACAOQaeKsr6TyLH/GTJa8pn6e3zoA
xjcQGUwRyUFBE31PVZko7XdZnPfvhJmbD3FSVacEhct+gb/IunPxJjhJnSR+0iW4uyyJFBazMb/q
qXQPukr1sxGg3BlImHhy+tonocC3cP343qcB63Dbqrb+dNz42NcWubODeuj8TKL9V8YatYbQkufM
LancE4imnHgWmQdrykTMWcnq7Lp9bdgUPFPMcMdr6Sw2Y08CK0gPdjUbMAnlQxx4yT4oGDvZuqJg
LJfhJgdjPaK2zbeVX1lvjtRYjOEtoP+MiR2KVsPOrCeuCO43xmh64QBDDln2DC2Lou/hwVXBTjoV
Gnbptg9j7mbk2AVfWdpYEbOinHOmWvYYFAlDaJvkm6KliAzZ3FfeDFIU6etLtS/F1B2bVvc/eGnX
m8EieEvaY8UAgE/iG6YdZeSNRIJ0HGC1jnqqyY59mHpTz1+1Y8/tM0rwtngB+6C8cGjWDCLHSINH
cI/Kpg3rLlKBXVsDIvFIRyUFxtfGXjBRupXupF7nxkr/rsyl9sEiAVOuk6v2Y2f2z81iWz/GOnBf
xxnHPQl7dvA5ripYWQsjblKlkXzPE7k/sEGcr9a1B1I62pSYzYk0mZtJgfqnc+r1pKYaAhvxmu1t
6SzOihUdKgVbb3GqwZZR+3YGHrTpiLVGrVaaX3nsuW9CmrJ7hUAjh4e4bl2HzHFkZ5FFmFukSsa6
RKtm1tYXCnFXUCoPDOBIxOaxsXgIw1EZMfkQogeHUC6SwXvO2+uS7WmFNffhubYywrJyp23AVXpJ
Ek6GY8Mzb7B68xd7gUTYqGNbj86PYp2SfWUFZNEE9vgFOLEEdtG0t064z6kB7nQu+rDpff88LApD
P88hIyJpfrE9m36qKsiOMhXpe7Zq49NqauFHeOjdHzJd5pMepmWnA7++40vks3J9X22gA8QHNyui
dmnyIxV1cmG/PB3afsRUxI/wS3tKsx405JObNN2uNBgQARd7TL1sOQ1Elt01Wtmtcg33GgzOiDU+
GExr2zbpspn91iRauQAVWXcruT7Ci6/Eo/wcVfINYHd+xjcUQ5Btu5LT2maz0Esd/B39xtsmSBh2
ri3RkJCJ9N75wfgxZbw5hVENH1lBuFU8S+dagYQ/payEnvPa/avchCjjZghuLeXsE6JIopHTtPnj
It7mBp3sQwXe+3XVwXBalWlG1jpM77kFB6o38uShjwW5IWvnREvX9oRIW81wmWN3wsujmqNUZYLh
t5eh06Q4kPCbNE/MZItf7WK7z+xwht2yQhYl47171GLKj7XXfmCGTOtwhstAecAyLJpJFtl202Lv
IJ6syOcLABrzSIBW4VADDZn9qZPavqLpzM+FzIPP1Gvjn3HKmQ8KtD9yreobmtHlZ0ot9lANikVL
Hw/XEVPLy0CVl2+mwnR3K6Trk+O6zTVmtfKG4RcLVVOPP1MCfaN4HdKvBTOKQNxIS22xCL36Hs3a
Ri+8XSTcmGEC+5uhOHeKPwm9zRZ6LCfOd2uTZNfK0fF74Yv+hBIhezdqnqs+kSWdIGNtn9hGUskd
68nD4XaKPT3hHMcqMi+NfU2MsvrrTjOiDLzzNgDpbHgwS+48dBax8+2rnA4LIVJ3NlWPmHUFl3ww
eNCsyCmwTm+GIQd/3+aDCmvDbT6GuWmB/wSz9ZILPOZeh9wmY4sygx26o3TnoK0+MWrEXxO5x9hY
FOfLuYe5/oQEVL2v/wDxsrwHykuqgtvtMmKov9Qw0V9BR3F+aVkhe7HLdZt7Xv01T1YTsh/wPmrJ
kEaUQ31RVGpQajk7+IIyNNcVyOkUu/qNkEwrsmQHj1jo/rEDi3ldcz18jeWoz9adOdyTfR71dVoc
ltGBSHxnE/eEmxB6nDafnWemO5WXxg20jEBNbcYby9sOHPE1CIq6IuC8lfMDcIpEHAxJlJ1APbZs
xklZ74g5YCM3+Zz+1SbqITBbS7RkOBJIQp0UQrFqWT5yekjiJrHwsH/FOMw3r6gJ/sFftpPeLXdU
AYR0mjr5YQep9eplFQ9Qaq18DUTi3RZCg2cGQap6d8v2b/8PunPrLdXXyjbib00NekyEwTGE4JfF
Z1uHQhvGXs7pr1wx2LLqfDN6C4xwUpMHrubtNAzOdrpjpinG3jlk6tPS9S9mDLhFIZ05q4xtQnAH
VINoFSH50pd8bGKqdP82pL37iIOovJiYlKEF/YN3Pcc5suGqOrMqkcd0XngcDIZ+p7WEkhNif7hf
U+Uur7GaBOQFclX1vGnGep7Hxb+mithBhh7d3gpi81fC4/OrQZy74gGqSz6+aM8yAWWh6aB2snCG
W7Z4T8uaWHvu5umWxwboiMFySKs2xLQvjACEFUOpR2Gbj/eZ0A9TxqQ5lM1EGlJuYIqnsrsvxDiv
UB36LNWnXpC3FSTwaMaMxhMC6uoyf1uH0EE29G6CU5J40Tv5TGlQuCzK8/gRLB3rsQmqzcD8nwxR
Jw2dntwjP154LwvEgSCtwCtB0MqxaY51d3Y7Zolbd7Tjj1aR4tp3Tf8jWxzziuYi7zcyMTjAXS2e
nXRsry2fbVu3bfyUsAC5mo3BojIOau883qE/DrGNJxscwJmsg+acuql/kxYxjdXEYjYEwlR9Lr0e
Hhmu9UMkHIhPbEhgo7baWCbUKk0WKXf5HWCJD4GyA2VTtvltrCo/ajLLUGDoeCO9EbV926xEpK5+
vlPZqHadMNdHwHnpPrG9moz1rPTv6YfN82rM4F1G0sz2ieFUB1lP69esCw8iR5O9SdFyCs41cDPb
IX2rYXiFsslocAOx4nqXyeLWoWlqai7PPTg9l9lQA3X3cJA4uYUSwTbe/AHmXLaw8oaphO3ORFsY
ZXMxP3uEXW3bBWP6UMjmZNRsoVA0tz/NlALEgO8X9mVGfiH4Ndr1PXqO9pHguGHX5ei2iL3lIuUf
xXFwQf6S2TztnILrNKySjLi8BQpn5DoJ73itGTdIf4n3Y9529wAtWz9YRdC/I8m03v2pUvhAl4w8
LrfDQaFllkZeAWN6405p84pIsDR3qehJDl89dJ47KABmDWogsRnJNrXNc8vwA6B7rowPZCT9yTfB
psMcZziwTZJM35AGdOmZbWT6kngrCMcCxIe3WfFOTiG0qPFv5pXrfh0n+TO3V3nz56C2dh6OAaSD
mYTfLBwS19A6kBWMHFPacOUD37khoqJEJsvSxjTtB83H6DrZL22Yy0o8xGS6x/lOKT2tjPpfU3et
PluHraWRVYRrYnYhul20/bPGjca4bbH9p2ZiEOfou/YkH34Ii5Vr7PfEB1pB8NOonYS964xa1fGc
U+/b5XvW311clT+3O6Q9Ns4BGHHGAoIyydaox/vwIFNwcBtRB/XLMGgCQ+NlfWV8Kcixs70nZyFg
IsyA5F3UuIKUGHCEfzM1kGKrWP9DFelYHRjzbLih4U3ogUnrWbewcubP1JdcEIxQl+tQul40Js9p
440jKYUyeM2HuLooZLNuLrs8tOH8X9FyLPOh55opNym2il/YJciFTJZ5xL1NUA9IxsoQcO0cZ97g
JCwCNtYLGG90I7YIdQ0+B3NhnSFLXeynwg2GZ2ex1w8G59OzIccKG6NV7FNsy/uhb5w3J8/nRxaS
bpT6iP92dQpVpYeE/QiDdaEvn3yIlE2e/EhnWZwRt+inzrDzlhGklbjn1p/ZuljWfduf+JZ4WFKq
LICchv5c1julXlJc7xIxZyC50/lxDjq8S55LyuE25wfxXKPhNHDm2eo7tlCcblPXsl5UfPeppfDC
XrLUs6PZiGmgAwgTXKe92GJSpZGaS0c8dLXV3xCsmTd7cqrHxRBVBjs4bX8Qwpc+yDVr6eVbX15N
BGeMcao+qw7p0FpvMgnscwoUlwDRNkVV3Y/MP/Fs4ebKFiP+nebl+tWwc3ejCagSRZnZ3rnwa1Jh
fnRo41bS6T942rTeVkXKTcDUc35EtBz/xq1xP+B4idBiFB+e59hHxxrWK+A375SAY9qrtuzPnO1c
QH1gfvcoxhMybLn5JrAib9JIm2f4A4B+SPe5uNMAxsVJxr/96KZ7RCycnWgyWlJMhnn+I0kMDLti
DOkhimw7QE86VO7qnQTndqi9unhxcUSeDJuwFEA143eFUrbZroCp901hVofMBVcS3vVGX1YD8y9S
o1ffaJGYfjdV/5YjbX3G0lZg8PIAZ9gdf+k4h3ql2081WAstXryw7ki9/p7Fak7RyM/wBWPn8Jsb
qPQ3mTcFr8ZqOaiMy85Oo7pPnsbS62+YrQTbA86WauOOLi55cxieSscrzo3FB6HnSDdqld6TnCum
CeZSjj9Xxmr3C1nbV3+ExRp7dCWEP03FDc8TGtgkyOzmJY7r9RlQMr8RihvyVlL5zHKrOhamldx6
WzTEtM4IYjSC3c4lHq7rLDSZCcLwUi/yxIepR95u49cMcX/LP34msc4jK60BPAer/zB66/q0zOV3
ayH+yUdcb+hUt3YWLFc5LCUaDWfad7UHeDAJXpYU6WUuCwRpktHlcehNbJLONGOhs035inuQukJ6
vDzLnbZf8F4DLeinnaZ9ZUMzMuEw0jI+DpTtP72klk+xaSL/dJ25u7kU9HQChTD0xkfDt9Hz3JxS
jap6swSqhzc9dxe2q7/rLof2dJefPyaAd66TrN3nmXHGz4p0a7HJyVIgZ3NkfZOMPE0Tui1O1fip
TuELKpOZAho3+29TxYRB9WaLG45oZWiojN07JN5iWsqtoEQ4j4ZXfTiKKyspA0qW5O4WsOwJcDfb
FmKarOadfepwLPn5Rkk71Ic56fzQ9Ewn8rGf1nvTES63qUIlmw5D+VMSoXtldzhGhVz8vxhn+/Nk
5AWzYMv/YeKPI392LNAKwinHVRcLClkvY2/lrCMdjG0l07m3MdfbZYsvjm0O495GfDUCoSiSx8E4
xrD0Ni4zkhTPd75eh1lwyAVe20Di6BOQn+x8IEdMr6k3u9/1tMy/UsrWV7Jrxm4j4fdw/sd3Z1SQ
+fVmJXjpZ5vf9WicCoDNOfPo8Ep6PCz/HMZ6hITMMzQ4XDT5kFwnwzR/FfBgy2hqYjKauoWLa6kC
eYxJJjjzTRkrj3o3A2B29HER4CqwiYMT6HrRuGGj7KohsqBYPlo/t9nbJMHOthvu/KpFMRojuIm3
dWwbcTh46Xod0/ieMTLZ+ckLZH9Sc4+PUuSL95uMFoiV0mTjh3yw5ray0yY2NlawiIemvFPHGbSB
AckSbrENSXQQQ6UcnfYSkJIbb2EZKnx+NRjVUrrWWwF17M23QYnN2ptrUKuGcWTIXno4Gfr7v5h4
6TbxmNpv7GydAiOsDW2irIT4xlpaPTRsUJ+5vKhdCq7LTSy42o+DiT4qBA0xfzJvtqMuz4xXde+u
Sh8fEUrnedi67AejCb08qrHCvPqBtr9zt75fYkVALDIGgK1rjTreCVQE24Dh8HktTRhSVTs/YDol
WsK6D8nLhBjiFvc0ZEyLN0vbkZFNz67BZBRiAd11/zlShJ+WuMLbS3RgNJDQFk5Lq/9YjciuI+XE
g30/nRFhkXnjmdXF0A2pypq/A3sPlIQkKvPTREn70MMYuaIht6N6MBN/284aw6Yjhs9kbNbnTuvq
UuctrI/EMiKUreWxsDzzd9FoQioav7uUY508xmubddsmndKQaLb1N5T95ICk2jt2K0pv6nXGxOTr
iv+36f3v8PLirvr6d9HYfwlo/dfqO+m+/jttEKoePvLfpUGUoYEnAmFb7n8CJ3nSFI60AtIR+UOo
3v4pDbKCf7HwkHsw3xHw3ZHz/xQGWfa/SJuZMRYhISEZ/J+cev/FKnv/FOBBqbvJavfpFf6jMEgS
pqAtEo533aim/oUJgE9RDa49pNKWj4QE++xT0UnsKgzYO9ccsqgYlPgfZG+Inf4z5osvA9Ub6ZyY
7aRD5Od//EpM1gssTQPeEPgk77lPExfLID5qVdqvY54Gl1kSnsFBB/SXvWs9Qk0JDKjFswBnWrOh
s+AZ1HkCBTppTDIx0oV9mkw5nVUsnuBWx8eVyWmIfX18SDKsATRDAuF0a9jPSc8KOWWQCz247PDJ
GbBSZ1UAze7yKXSEhxAX7gOi+BEDLWBIZJpSVFHmL4hvgaBTsNs632b8ecJ4ALIc6ZrYDEDqYN7g
PuACMg6gHQTLmn5wvkxhFlfhFAisCZIhY242W+zfpJtJLiWonOs3libxGvAQ7OvFgS+dT/1TWuRU
FxnABRbMU/1rII39iGege8QYY53M2rKxHMCHl4GLepBLN3QrdNlIcE9F3Rzm1GBeR/TH20Lh3m4y
d+m3bmbJT2uMg22NhOwtmQJS7JrcOWaVE29W7diXNlHGjj9i7mcvlmE9Jd2hd83gogxnOrLBs0Jc
5rQzhGi3bjuel8GAHJi6Kmqmtokwx9j5lsGis2NVBWhycNn2Cjm8CmbfYZDWTuhBCXopqkl8eiuj
vQ70N3Jx0zw0wEP41lpSThnQlVRhV4Wr83WcZuMDMaTeZRjpDjaSOqQVVKptjXTLoeT/bsuM6X6Z
V89u6aMHi6UxXie4zKdUOW5okZDQz9MVu9sB1cPZb+FQqtmAFGF6jx72AMYEubK2uDKpO8hDYSEt
IJ9g1ckdgMV9T1y3myzFgalOWMVkr/ZZGfWyJxsoJZrkTsrxxr4Kp7JLYT0h2m+Grn1o8nz4TDM1
7JH/wuhX6NlYFBq/vLWFJaur5aEUgQ6Diecp5bHauXcZROP05f3v5LfqhmCP8UhBxaRRYCKnl6ty
0f8XSW09E4FpUa3r+ZGB0spgh66ZuLIU1yr216LoIBaM677BPPtcFELui8Jdn11K1KhdKQlLB4ma
lmv6lC9p9cjNqSLHTkVUsaoEucmwSCStCjswjFvtDc2hnprmvYBexG/TI+keoncEkfovwi0V0RaU
rzGZPxtv6byQ/0cNzbKVBz0H62VmH3+ERebvq0rZkQMcDfRG6dHuGUEQdcr0t/MMg7pT2Os6lmcR
40/yYjzA6D1zi45NtSM0VYWUvGtsLu60dM/ZVOVScjUWzmlJCL4anVk+pr3h3PQ8kabbP8zNSo6S
rgVOWHfZI5rToauldVV+8hhwyEQIOB9NEDJFgntGmdV41gjTfy+khf4tCcnZBsVAIR2s8WWxJuaR
nkOLxal/cMZCnrjeUfhMLoq4SosduWjysefLZjko4puqWNjZjZ+eZIYdb5jG8XfnFu2Nk9k/Fl7d
/bQJUSOWgHVioGSZUAFA9rmTlWV+pOzfzjz8xOAxsVj2Ym3LKUxUxnirb1oUckk+7UQf+M0DiTtT
FY64Ka7jRI72XY6yw8cIYJoxNKGFsUq26Ce9AS2G6RRbf9TIISxnkiFGEJbhRvwIPxInnS2CGucK
ZksWA6k9iB+l5Y/Phl2D2UDG1733TBLpGGL1SH4baWJC6mvMPG3HmbbsQUBUJ5qN5AdySDpyX3W8
14lGtgns9r4wYaq2tS2SLC9Jk4uT57qxiysi+LPkeFyPTVW10TQO1ckvevHppgHUtawu3Y0eEIiz
1ZZ7VJug6PC7NX9TjK4NO5xu+IsvsSecbx0+SysYD42sH8lP+mjnqT9UqJKYu0ixwY6MzhKPChkb
iwxgwpur+6PwchkwvlX1p1t2xTHISIIjZAKA05T6d1BtdQSZg5AEJjOUnKGNiyfaFm3t4be481Fm
iw4uTRlb+R+JIWq8MVF1X1RTO/NuaIzmq+dV+Ipju3qvi8S44lOtkNeA6+AV6vhsZbBOb03mdgaX
VOy+K60/8zIwzlgH5vhsuksHneauTBVDCq08dSYc0PfnXzWdc6tm/87GQoewndNF/rUWW9zuLjn/
OHlZkT0j9gJs5lnpy8ha7wVNEpg7x2rRF2ogRX8BwUDLTdilfVBVO7+RAS7HoSH/dcH3f5aL9v+A
OsJ3GdskRBqMmi5x5jLvM9qpfbETIa/VzE81z9HQa6t16SiNVjLjly3KXNneXE7rFySsLWEyht6p
XtmCLLPEZzrv+vPVWWPn4IpUYSmldiHu0tsMevJwPJDM+9hbsZeddM4KXxMfA6h947qotEy4XlB1
ArM1P+qgS39MIoPb1zUpZs+yUIMTpTVODmkmbfWYUWzX0ZBWrLd6HCxRYRkdjhc7sJ6tig7YsAz1
nExi+iy6Bt2CMTkvNcGtp8Dqxc524CvHhaHeGJ2RHGIBp9pIzf+CWmvKQthrOizmdNq3NaRBy8My
S5VmPIvFrvfYjZHcTWv9x0tne4dMwFi26AP1WzfjMwzzDOLxRlaEOy55aQ/Rut6FiWuiQTWRVDof
MmsaUTOpI83b/AvPzIQAd0k+lF32VzrZcmskCcwEEJlbzQ94u2ruzzJrt0Yw+8eknNdH0g9l2LVB
j1DcLA1qMX8/zxnQ5qrMS0SBeQx94QwSy0DKTb6fffCAbE6nvs6SE+VMHaJbQHNJ2SBfXdgLMH0b
7ncy1j3rCePsupkWyaMAWwCLIcz8Gx+1Exkq3g6lw7ItBeM7PDZnTDMLEsBFlWHVd/1nA/+SGCOx
HEkiGXb0forryAl2VSvg+WLJBwS/qkeNKnTHiH85uownLpJcOJbbRN2l5JO5fxLzeFe7SXP8IqgN
OWF+sr3PTk+OvSWChxBSFJi/qC/r3WAJ4kKqecGrmCztU9Gh2yZRtsjDwpX+A2HXEhOciXkYn2ew
9w3c4ER/FfssFu4hU0ruhZn6iN2kbh9qYraQS4wWfWLZRHNsWgtCPtOuTzUkvisxIvopQQDGKBPh
6jnNg/xVj6Q122wP9uxEi2PWs4JnjeD0UdbUyx9a7cLbqnrKPvwhiENG0OhTg6z30PqZDoJ/tmN1
GdXlHUQxk46RxWTndly1WnjJkV1kukU2gxoOX586iHlyj2vdNTuJ6exSeaP5AOkUTds05u8z00/C
0RShfUChvfgQxHFbHDKmjheMECPp4qs48C1PW6kt46Adbf0aaVqf3MnuqasJM37htEkED+44NmEC
aiNELxyVOtanXAUXdjU7zHpFRNHT7FVcAUAQAv/xCAgJ/tvQ7zX6oZOfZV+glIPHFveqgTfJLv6M
ladggPmC2x8Z66abXboHotxJ3WbkdvUKFgK9oc13kKzBExdce67NiVlmYAw7/KXjzp0ZU2TMQf6K
QhYR2geEsyK1KaA9CP715Fmcoo3xzvaYM2SZ8ftuA7jU+7wpe3ZAor2tk3TjzTzYzkOHN26bBuv8
hQwifl44xfe2MoCUoaElnRyoxlj0GBFRXkpltiGcgYabU2EzFivkAGt6iDuKAsaTZ4ffUJQtuRdp
BkJvDZk/keSiIRihzaIyjT3Y50Xybo3dQ2tL/N14GPdFbaOF6WluLp1Q+VnmmLrRcRXjoabHCAOV
2EfTFcuzOwsikovqXNTFm7TLP0bsPw6amViOb48RRs5OK6kmBps+N1PWb2ss6hvJ2PyxwGoNF64b
H2uqL/a2sboka54cpK+mk2f9ygktHIbB3ZFjszWZMh6AhCT0UusU3tO8dxYXEoNQ9sYZind1kOm4
wLIn9jbBAypAW8lLBzEyX1N5VZ6yzpXP0D/PHHRkKxvIsCDvnpKx/MZJrEi81dNrw8u0c5m03bd5
zdZsYeknvs6f1UJFG3fKPfvD6D67VumftNnoaECVhGEAMW7M234eF4buG6fuLEpQkiN5DMXWW3g0
DPCeCJnmQ1xIiWIsPfn5wB5lCi2flCLoB4ymt1MFl4aqIz3FpYXVws4wHYI0DhGO1/RZdT0S4FgS
sm5kTJZcwbqhzDs3xLB8cNP20JrUEKur/a2wcQgrSVhMvJacf+woCRNqaowo5WLcJ/VQ4FVLYj0z
xT2TfuujQ9S5DVpVnJp5HUMLMfC1MIQbiSnQhxWryU+8p84HBIIGCIDMGFen+j2v4vroVI1xs/Qo
bvna5pyVOCMAA3bJpcNtS/hSu0YmRdtvCzH50bcaVELuUH8j2BesRREGtWhHypj8BTP+Zc7cfc6y
ResGTD01XttsNM72okkonVjYGiAyj7M9Bky4p+DlLnYJK9VmW6KQKtYjlRP1juWHwmsuhLxYW0b7
oUTfkTguXaRZ3jI959QJVfcFVwg1pMEOw6XFP8LmPDAYNk6mA0q2sqbhYQiGnslpTnJsgkmhImrZ
7R5q+6M15+uYmxFZjjt7kD/yBJDcZFqHPJlf/CDbkd2G1aY7EDJzv5ZgDMRWrbeUhh+dCj7LMght
aKMdg41tATYoJBQnuWXzWB6CgaU410x1cfPJ5jnu6mPgk9AAEIkJrrueZZcYkSd8yDC5v3cXHCd5
lhQgn6v0OGEd2DsaQoNTsQZbSHqwCxo8BG1tzsNBlrSJ1fmw4o357djZXeLhweiBNiEho3JG2vhJ
E0CtoSCke8+oNN7VuRef54LwIIO1wyGw6PSZOWfeJUU4jTHGC9fe18euyNlMekcCr89WSeKHU7YR
2kXx1jTecDFdz3lLMxeyW6cHNK42pvF9DrYRgV+8wD/2s1Hs1j5t3o0pKGBw0qKskq0tc/XmnNSm
fmk8ZLXsmLIF4bOP9jSxs9NQtn+qGfZTmS84y5VvVhEH/Mls/JDNfLljxNQcMz9HeEn6X2jnHcgI
29Kh9GwwLXx/RECPzLu9anYZ8frtUWe+/4Q+WexiU1shzLpNj2k+0u1s7qQetqMD0S9nieRIw7zp
OOvpcOZgeS5N4dlQYGW3G9gy7Ke0wpqPZe1oEtOxRcAVRJOBtgcIjrhg2SdSpZEk3yyxfyE8AQ2+
CcXT+oPijoUm+5ogeEFUEcL8eVpSgseH9Nekxj9EuLIoM5uaQtxu52IjpGoPvdXVO65NYzuJYkZe
YxBiYZQTAljyIDaekR64uQ65JQ4WgeyTS7YoumY89+XBJ0a5Uh5RSEP8R04w3yoR7HtvPeALOgtf
Q/Cul12r9Y/RngD8zY6TH1uug5fOMpcHJ05+jI7N/rw23mF0iceSRMMvQzjNgf++qXLKFo8G4ui0
dGOUKMbLHDjX2iH3NAPL69WNvLRgcjeZsD85wBVbila8O9h8QgNGbugv1nuJOzfMSH3ZrsSNUUNv
O8yBSz38GU0kkJqreRN4hGHnpIVtiDL7m8PUlmQhl3gzkql8bSXsWNZa27TVEEC4wAkNw/BTOvui
Wj6Nxnd5e4w8SqcYWW7hFsMLTTYOIDe9ZjHhZYE1PE1dQannpMlT0sMDqYNl683Y/cCpUy/CO915
uATxIaW7GdEt3Ba7YJRnuQ/zfGfMFuj7oMnCQK5kZPeQvLsaWTzLZuL1LkZgnpuJfIqkrl7uFqlR
V6c46AMSdUe24sGMeWIkWWGsrfIVlfb8GVTDCURNviloOBA9zQfZFvN+aMAoR8W81Md0wHeHyp9Y
FyvBLNcjB2hXrX6q3EKQ7zlftPyvsBi20xP6k9Fqvz3mXPB/aP8sSt9jwmToDsG+EFNJQ43WZWfO
nn9wbTbW1TQ+qpJxyzjWzTtp8usBFfuo8D74TmQ1YEqrQXdh2yzNxfaYmNE2wCLyVvnCphb1vrnO
1xpoELNMW7ZHKQF7dMacEj08XwyvrFBiZQAtMCvuGztGUWN7BLa0jZO+aTG7DzxnkT0ul0XG/SWL
Ea3WmcnU67hmth/xsT3qRdc4QtZjc+2YS8jn9H43awzKPZhegjh7Ke062Xt11uy7oMnfEZk1YSu6
p39j7sx2I0fSLP0qhb5uJrgZSQOm58Kdvmt1LSHphlAoJO77YkY+/XzeUT3IbbK6Bo1Go4ACAsoI
l7uTRrP/nPOdkdKnFcYvMhKtF4VGZIybmOc8+2SE0yxxoQoBovBMjB4L+4R58UEroPVUB3iqzbpV
6lXUk2Z00CUHL43da+q68zCewN7jIcthSjC+YbestBNc+XEjagRGD/uRyPjvogu5IQHTxiZF/PAZ
da36HJ8I+py+pxm6Rau9zMOl6SsmqdTG2Xb8LV9EjgGyro6VA3N106dZlAI66SvSezO+DoWj7Q0j
LnHL3BFbEpkNG6p8DEvcBmG6mB26td/YMJSGubCuJeS3mFrI+VSJzHiOaFajVIajx6Y3LAtCgMBG
YBNZoPuVNvMr3bMl84EB7CdlmSfiJRVXZ1UuyUrPnn/jU012iuK+3fNXnI1pp8MVZ3n7OcWIeLAG
Dwdk0rB1JJB1pWiT3lWGY97blYhvsSk6uzbpsh1mYzZAlkdVXYzHHL9EU4orcxrCjs0fbbFg4jKm
FFeyEzbgBTs+FrNtP7LwV7ej5yS7KW4RZs2ubXdAWZx2C2wQW2aBSrzm8N/w6POX9ey2E2M2LPy4
82Y7eQ881otVilX5ybaC61HC2vdnVdEGXntrS7ufkTSd7yamzCS0wa/8iIq0fGQb8ppJ+uhonLu3
x/4RO9IUTpeB17io/bDMzRaDbH/S2uRyhWYF/Lma9tpYKrTt1N8HDZGGJo7MzVRDTYoZD1LMni93
SJp6jY4wEAkgm7ClY5EgEj1X8JlHjhS1j08oa24C3GXrptX+bkiGp2kGumja3bfUAhLUpSUZB1t4
Nwu8vvNs9O2bG1+6Ss3IVztHjG67xhOGG1ZwsImjxySR8PouSKVopOo3GE86zTIWPJ0dZ9v/Stn+
r5ysHEhTpzQp8shuIN8E+EIKiiPJMQGKGAeruoIAfocZ486L8RcllA+s8d8023qwP6ok4GKk/uIa
KE2EfXxxTj1Wn/cJEOAmquWbHKwApBEQaHZJ7nqeCjZh0iE7W0ZFdtCTbe0voJyssY8pu6anrMD2
ZMOX2le+ER9HHVD2RJHyhs37/ZB6MLURprZ+O1xZbNT7YJh2zsJUkjTx0h/yvjJupksKiO/jMWng
alVEc0IXsXpFQBcCh50xwu948xB9cKveGktrXqHkUkmEW/5oBTGH4jyXTIa8nOyNPlt2x83ZEezy
lbKOdoTdRA/uiXjPg8lNRGOF2naTj5dyKB7rIruB9myuE69xV4SjUgt7kOVTpjUuwP+qbiBGWiMm
1YxG3c0gJ9Zk5ef1SUJ4SZgCdBQfzYowHD1D0daSXfNE84L3o4ZBGBp1IsmmdQtfL9Z5fNoT7cAN
Tuh5yWmLYFm8HpI+uiPxuBxncMKo8EOxppPpScTevdeDTB9d+e5l1qmgipdAur9zBf4YQB33kn0R
4fpx3UFeTMvueR6zFzHVDFr7hlhxTR9hfh/RkxJSliUfOiwwa5vY9NkhRnZqqXYLp9hLngWk7T2C
Olsa3dfhgPEkXiw/bJMGKn3QGLtykKt4vNdoTdcxbuhjxr32XuoojdYFjJwrd+iYvYyCOyCuxJU1
2uhiNECbm6AZjvHkBiEhy4MF6BtHiVjSXYBNjtMKuwWcUTOPk5IA5toUrsnI0at2TltKvsagtJ/N
Nrl458ZGHAKKP78TrMUQ0IAkveIfzY60UjwNASOqwrC3NevbtZxBu60NioA/lpyNGc9DdZ8qKgUo
26OzRnaD+UJrn0EqqnSuFi7lZ10V01ozYyciNib9LesCEUKiPsWbp+X0kfgD5zqGBnK6QKFysZz6
SqREaVN3fBZDn95OhuY2nmmvrdGYVHKDuR1CHVkHtplF48hH0lv9IdH1wnJF1fSrotbnaUwsuqUK
nzlVFQsYN/QnU+6J9FbcxoBxKiq28Q+u6B9WgN6D1AUNZvvpE74FDL9AkUl7kcTecqJ29z4BlmXl
1Y19gcIDNJC5ml4yv/rAKQ45bB4+OJbjjmrTOgvN1v4o2PAhuC0MrGDZMRLpR5htkz2krBQ1/wtH
THDXs1cnbClN8VJlOfcSPzb7a8Px+u8O8HF/3dtRDS19Ej8yNuTbZXK9QxDFVEIWjFbHDgSTmNCE
O08N2yYtxP3oXbphEz/mQiEGb2/HxHMuqdMO/YnOHwJN8jLpIlPVOxTQxmKkIV3bQMAy6jWxe3na
RYYsIjAQmUulWxZlxfVgePqByVqybeuScB11PhcI24VhlgP45PbLpjj0PYgzvhWJ73XdDtPGLcz2
2BtF+WQPkgAtU9m9rwvntsBX1a99kF9I0cRNHcDm4+Raa9OJfR58Ot2iKO5wSFZE4IL3KjHhP7ZR
dseF3xK5k+Ohtmv7luDCuyRIj7GdPe1qVNOr2wxEUV2IpLm73I3JVIR2U4LINRfcPCDA4K2WS9jO
L01KypeYOPigGxRBWFIjVs64aUNK1rudTIPluZoSExsjLj7q1lSotQXEveiODohfqjmWbs8pMNn2
DsQBMlCs9aP3BjAimTfw+tuNKafuOgPQsNGMwM4UTRL0zyrhPiI2LVu809E9LSbplhoE/RqBEygW
hg459KjbquvK54oQMhhUmtPgDqX3o6IWg0YaIEqdbBNsZDwYlnW2RPKUMpbk1AEm8jEZzeFMKq2E
Xlym4CdL20xPAlsV4AwM1SE5Ys5pNECA69MPes6tfSrGaedqyQGtvqhq6QELPNKpg8nn8qT2OXhs
fEl3cIMhYNVg53/WY0Ov5Xghyw4T6bPFsEKQkdOmFs0jJzN2KYPb7YK6AcuqMqpwgDyGc26/ob9F
pwuC9oreUeqIWw40MwlmAvAstVNGlg2EwHSNi05884l4lrGptlnqzPt+GPx93jTdqVmslNxVb54T
ZU87RAbGnEMDIHzNroXy7kpFD8mkvRvGlbyVDFHQb2lNQpoms5lDgV557txcU7Qu1qhrpIvqxbex
UTTBclUt2v+a56osdqgvnAFR3fRRdaR7A3fh6mGW+hgv7njrjM2dES9hxTTvutWDd3ALP6OEwxP1
Ka5ihnGtSd1iiKwybjOoMmvay79a5VnVSnlIKn7tjD8KrAPbgSbWvROTi6OdtbF3GFKtk2vqfUEc
9T2fsPFs5GQoH2N7lT7z/b7NdpvtNEMEHl3o6quYvj90kij0sv7FdLNkl7gpyBhFKw3pPcZ0DHfQ
78zQdR1jxEY4ehuVe0iKHSH7ecETGVDi+DrMznyXzTwfm9bPVkPCwYCc5smvRN+vGk/wsEEzZ//f
zkl6HlqCghTk9A49C6zQQ23eoTVsU1gcq1LMT1Yh8h8LxNnHXnb+DxQ4eSVG65iOmUNzbUc7KIg7
BX9wSK0C2ItRv1AXPYOGbYHjVZXFVWEZoUkBwpuSGURKjXfWJhroMQpmz/DBDJSTh906t7GN1xNj
EKiDAD4lwr8+1EkFsbvXrnmiX5xbO8PEOdFuD0bCeI063b3JhP0GYL/JpGKFdCTneJF9RAwrOSa4
ygP0YmV7PDuSL2hsvzEYeoWy8l1pWfAY97onx05Ae7eCwAGP0/TF4vz5bZjx5LEKmfNedezTOWtQ
PpURQM4DzixhLNNpg4m+uqfpellHVeDdDmXpb2xK4/dLlU/LmknfsLX6uHbB4ig8GTQZRDSzqcEA
l0dX0OWAkzOW2C5+d4/iZYHwri2mGHGv9xQCSaQMI9gZrbbva9ecrnwD5XVgPTpj8jAumF/Mexh8
7woRu3t7GOKXZKicJ5ISOV6HC3DIwd+9Mgx32vXjZT5u5J0FMkYxdzK7MkDwotxCEUWoU4GZyI95
EqTECEDc4YIHBBSHuP9tIDzwf4bKxuRTLR5h+zrws9CD/7IJ/P4rs9IhHOqoJYKZYWfocsrkbYeM
GrP9dWpa8H1YTSExzOWVUdh3YiJi3Xu1AKqy+DekPiHspFp/n6gvnshxquAe76Ii+SsWeWNSGHxG
pJUPtuHqOwRs77sdQGk0Zg9djQj9Met8QiZxXIz0hkKpcUGbHGZneOmZQ+ewSAFVQACkchaAxI5H
KX4X4j2QUMszFrz8SrPn2tM14YSuCp4hncIEJgxz6cXV2VOLX+dOwZ/SK3N0s2fdLmgE4HkxN6VT
s26c5brjgqDbNprAusz+oU/yXVKq5CjKlHFkFATHjN7bJsrLcHTKgM6uuTowy5jWC+EP7gitjlaD
cWbJOuabne/DdcH//BJVHa4PYG/fDM85B130BM1V3VEwVYW0KOcMhCiwptQ1CUud3SfohCluqD2w
Ie4fKefTnDVMXgtd3RBB6tZVlx8ctrP3lZ8yN+AQdSWpVM5XHJ6c68aX9Z6530fQN4+uOZ/iGMEo
MMSxaktEG4g84z6Dqv+SdC0Ql6KUO+G65ZNFDDalpVABe8+qo1V744mZAJ4QV2jawuyW0lE+qIDI
7IpjcksyC6HaRHwg3YFfqV23ngI0Dxllbxsptg4sqOvSbClJzwcGABpojrkCZGjQ8WMW9yzTgOOR
5PWGJ0e9RZM0T6M9fTadxaynj8WeFmRGewVS5A3rlljj/5qP+Alc1OkYpAEwSvreIrWXY7CcsVgW
myWNGElJqzq3bC7OapgpR0rK5pXqE6JZCc3lJ11CLkikFXx52oHDCjiHpigOpUykAblw5y9kmlIh
v0EjnqkZrpkaJLVBLNUm+E+h6iFToj4AsLfvrdRLb5yqZ1C+JOQMpHKGO2YDyUdBLg/EUIMp3WEQ
id3B8k6z17svVq4069nSMzWk4nFcYIuv51wX+LZS9AThyo82ku6RjUr8wZCQPQS9AOjSbXafcggv
OQiMZJ6Gl8so6JsZ4cqiA8EcXmkxtp+ZbqSv+NOWW2YbtI3LiBLBTmafieFaZ8KrKAdRXTxGWZRs
kAU43lcGgXLZ+A/CBCaRjC1JKFAV5ylGPl83oPSPQ5LlX7XlTA8Vj1eEGYpzWtkKgXeiKPflQOjG
yKLoOJaOsyUSj6rQB5V5VxSzemXM4l0jWRWbAFAmGWfl9rcoBu5DOXIApz83f8hr43vWd8GWvC/Y
iCI6EhsgdOCI7jZutfUuqomxYs49s6rwUPNMTA2MQUCUqAuzDz12cShTBjm5BbkYAP/YhUXlN9ul
Y5DRZBLyvrStLzsLohMOHSCpjUGEh/jRmNx5bA62iHHRsay5D8GilVy2HPU5OjMtQI2yz6ruo3Mm
Zb2JMQI8VlH6wNOVPY/gLM3j19l3pe+jpSX5qc8L/eSpZCGf3iA8GcWAZs22NmSPnH+TBAwZRhtR
8jK5PjM3WWSKsQPz7QVfDUsUcNKtbzoucQdvea+a1KPIF/WuH0pnLTlyrmVGeg11Z35gGjbshfAv
7r7L7L0xx/4Lc828DupYPCyttdAJMRZrvjeg5nQ6HZtcecw0UGK4VdvV4JaK8UkPLAldlaQFtryU
yxIFu6RANB3uiZANOOMGmgdkFGxxk7HnjFNjVyHdPPQTeZV46mlpcgnjrfvAUoJDJSGPxQDCPXdL
BTuKz+DSs7BNC68+1JOKbrps7G5d+FVkdvj9Y7gOzPJ9N+Ajtz5ZcIzrKZrJtHqFERgrURSsQf+K
VyzLMruYt8mkhLUugvpTtHW00SIqXguQD0goWIafvAL9Q+C+upuqKHujGG26EQ6iC3NazLD5ZBSs
SFn1swDov7rVZvdZ37yXn/3/uvzDH3Uz0xiSDP/7t3/sf/45/qwv7vPf/IENUzrM9+NnN58/yfjx
V/mH/v5f/md/+LfP/wwkk33cXxvhu7F6/0jeiz/zwv/8yz+98NL/xbUE9UyBYwuL9iqaY35iMqX1
C4ubi6/9/zre/26Ft+UvrpC4JYWN0xlfNaTWv5vhbe+XIAANxzAKvKSEdf7PUDL//dV/RasEBeNC
lzV9mzf7az4mWkybZNDOD3RDMEaOLFV6hOnr+bavSudJ1QR9GkADeaicdoEn3U3VIwGzedMlhfWD
e0hmV3OtaMzMB7HsDRg7GJEthZu7DqBVrBQeQcrEOZG3iBakJXEoWslBjGWgbjV9gB3FfYsCguzk
55k0CcmZXHqTOOFOC64Xlo07oCOoBhzrLjUp+MPXCc0McisWR2KgtCbzFmt4b4aR76lrCSnoAHx5
3o2c3k/wJfWWnD2UPGfSe6F9eZTzBEnXZljoFCBteFgMzzIzmtBTjMK6kfAxegdPNpxP9srCS7T1
tU/bJus4fYxLs0acX+Z94HUGgxI2HxPnuNpamCmbsyivfBdrSOPD9yCO7s/HvgfaVcT1JXcLifGc
5x7GJzLYt+XcO3e9k8QPraLhz+nyLSgSQURzGS9BK6sG/YS1LUCyvRX47r9VRkMtpROQqGVsv2UP
jR3CnIcNgbz5LlBEcTAVLu8W//ybIN4W6iJjjmlF/Aps3daKrDMeO3NM33vcvleaMhVygiWjNpxS
dwOssLM5eMUzggjz51447WFh+ECLXGuO100vvbt0Km1gGIF9zYa32ltcMrct6/hDGosPv3b1uU7a
Dv/zON5IF6bocYZsl99VddJnd0E8d9NTMbvNCwaymnKj3JfuTsIFuKFubbJDv7Cgpq2BMLvLg90u
Vs0hP4qPyiLGBQ9yKt8aTnfWUfNlMa/3gzgJnbThdJlwoEmPfpwvO0PHy3tb05ayaYyOvsNqKWBp
TLzttZPl6Rb5wvI3fqxja6/MtjimqjUoFUA5NPE+GvkZULhS6yBAfNuYXY6vNC947JO2ylRPYCkm
pVyNKU2rA3sq/G/RHN+UQyyP3hiXxMjcILqv4M69wE93P0c2mfsEMrm9mh2IpA6WJXxFmc1TNxir
fTPLxT6SCQ40Hl8wp57I8mtwBe4NUPrxHPMcfhmxgDympWts6TSKz3hJOOo5Zlc9LGBOHq2FsHLQ
phETcuZkRy9Q0ylpXVHj8ej9qyRHlb3MeMQGm2ONkeGS7HS9zA6LIfVfICt+Tc1o8FYB+QNgFRkU
Abof3zqqjrHk6hErYQ9a7L03k+kB1qb7Emk0PJLkU9SAqZ1Ja01B6bxBvLU4IKEx22xlW/1oubq6
yjxE9ZWubHRcqNICvpDJjIctMns6oq/Anp3F+2DimO3ZrAztxtELvj0iLb27d/Uwv5lBZ9wok6bu
lVFFgjYkc0jOhpu11+7oK7Yb9vTDLDtaGMyhD75BnQOvCI0GLSa1zfjFHtUcMejVabnm4ugoiPRN
+zVgMvbQaLN7Qi8QjN/cqJI0NAfyZDR5wRO0LvsxBG6isT1FLWZzz+pntBpXJd9hH4KerJqg/daS
ZYM2kPv9clJDI6rTrLn7tgbESwC/qTcekwwJZMc+zQd2COF2ZQ1WvxdkMJ7Ijyd3RNOD77W2hodg
ErRR1T77Zb64eFJUrmZ0L5PZaF2i/JV3tUyNdaCmOJq3HK1hsWuog/l6MFPjdiYqxHjKZFSD7aIw
vhgqs7fuS5sAe9+bgiuW8V/YLgxmlsRxvlN8MsNrc+l3XFsIwZSQUwLzUmlOtducITCakESIARJL
izJ2DZj/berrTWRM+YRmlbfPVpktam1UuoTHRCx2dZnKbiQJp0tteY9LBXD8cOq7TN6yOZXnLrGr
G7inDM69vnutbMdzNp2J+EpuvaSQk0QkdWUMJLN3OgvYwuMlgwGBGMsNWRWcICpdIMVUWLQ4s2Ks
7CiZptTHxyGELpdT0IsC4Neh5BO1wzSYxu/QmfA0ZzpF2m6r2cN6G6XdTTfr2VrPKbAYFVnzfUWi
9S1va1ECywRicTflOtnT3CnevQUU4maci+Em8JrltdE2KcrW6b806Y0yNEhpUvDgZvHzrArW2XzC
clp26Guw/AxhXMW1xOiNowUTfZwZuLqc5KmbPPs4V87QHXNSn3SkjwaoqrgL1E0lk+4W1XAi8dIu
Z7we7NgBPUYr3zL1Q2e77Crhj0UHkKdevLW0UxxiTzUSUAYX0Nq2ZxBd40LYakNp4rwDGuC8U77S
HcbWpK7Y4oSopM9sxe1cqqxRzHnqJziQOXa1hr4zOgUCohDqA1P18CNuCs5TYxaUHXtQns+rmdvz
nZaVCSgOTc8kJzzm33SsM1kDas+TOZufY4U2CXbFoGBAyibDS9IkCnosxRTIHtxf8zqeFgd0BZal
bBmHR1cUmRW6ka7ZDhROFe9ig2m/ZbntdcDAZVe0mIbGYNQvhAui/LY0SqRO2V3WpialHAJXoeGc
4BEM5V3DyQqZ0zKI3evWnfeV6SPLAU1rNpSq2fWGxwpxe7OQiHXtEH8s3UWQDQL8cUGraV2QZZwz
0OiCDp22YEzpqGiejwr6VHwI6CNNNpELhauR7BxMfC5PmkPkp8hVcDANWX0TIk+eJXRZJoK2qXbK
NCyM8+6w8zw9Hui2C3AMVuMXkGFwYJFDjQ5TuUhN8E4t6wCGCEQTMYF1JgygqJ6DKVAH89qCoFqv
YdKJD9eP+3HlyUY8+lO3HBfohQc9qKwldT+bN4WK3dCmGZlRrML0PUL+hUa4NFS5+NjTHUNQvtqm
HY5r1ZCZQSpovy/wz7GymhUZodzVj3XjVwdtLj2ri7/41ynLLp0gBdhJ1tH2G+XJMpyCdNrNouU+
ZzBX3daYOXIifV6x11Y0wGiY3BPE0eUU2cF0r3tH7JpWNXsoDfi78JO7V8no1HtQnt4rsQwuT0fB
gIkWK7/CDVd/JpBnmCzTRXUpcRHJ9YwH9KlWFxBvpGFatnmvdlNeyFv2KWQJ8YUmqwKdE5JLEqV7
13Xl1ejF8zG2dPE2x1P2IOltW7Nk9nvjEru0sa4cJWDjjjkED4n/3lqC35yt/mccpoj7WuRs/9+x
4m+f/fC3FdLge/GbvoGff+/vBynzF9NzA6o+ff+3oeJA/BLY0vECIZmb8f/0z/7HScr/Bba7b3Ih
UXsCr4Af/cdJ6nL8osCAxLEfcLW6/1TfwB/bOmgltenPQCphYfUuNRe/6s7wXSNuC6Dfuy4Z822L
CIGV20tDtOcADOZ8+NXHc1cXwPmqv1VjecFUDP2//Yv1+/CwJ5HULFZzn09E8kZ++3qZrSNHmhLi
Yt6zDtp59omnsr2fLJpdCGyosIwWpHFgnIQFKS4B6orsNcKwizDATbYDLyUKpn8Qa7b+0IPK72UH
ZuCanF0xS/2u/eDCzXLpZg92MDvfhorfw1JgP5HNmfy72D0XEstgDLcRY94wma9FN5rHv/5w+E5/
dab13ctn43BAM03bszh1/+53AHblRTobg12T6nbHqTA6BtilH//6Vf7kG3d5qyLwHelTWnH5+a+/
cT5kEBJZsHNqIh+5+kbenbI52ppWrerVP/hg/+Q9Ccfk3bi+sCnB/d311dmYUHUWyJ2skGI0FotV
Njb2P3iV33dX8MlJ7giy9sBNATv+7qqycXW3SkT+Dks2byMHpVYV43kq049/+sOTFjUZnO5wKlHS
8dsPj9Mpn+jl8o1SuHKlkX0B/Yf961R37NZu/j9ejJMFDcSuMIX5uxfTo1vXfu/6u9pxgaMHBPWS
CcthuVADobHV/PXL2Zfv4ucte/jxb//y79cfg1V6HFxWBNcJfvddpRZKLo2M/q41KIDvplpeKT8y
zwW22UNdUgHVgGHkAA9wdKmzemuZZfQdBiC6baXbM1DJjil1OYVO7nGYMwU9JZ4TFKFASLgb8B40
IbISjQpjVkHVKNkfM5gmC7ei4pS5L5uDEPCoNzE28e47mvh+Dvx+TtP+bP35k/scHoNnSxSI4I/X
o6K6Vok59XdxRXyG3UdwmCeBy3kST8ZcbZss6g9VF3/5TtJwXM7tR/YZwT/4qP/sepWs3JQ4+0ge
l1qbX9+DXTa7FRNQSZB7BNrmwqw3SataJtjCv/5S//hK0uTB4+BhBBrxh+80aYCkADkNdj6tlmsN
NQLXTflG/NLe/PUrWZ7zx6UF3inagw161fF//vxXS0tbWo7h2z02MngvG4a25L9Z8e8Y9OizZ3Ah
2O3wGOccsAh6AVEdArNdg8Rp1CqvNRpR3xS72aeMHmqY8B7Q/sS7mNpgD9AU85rTjvOD7Af3ahim
+gRBIqUWixQSFowxY2zG+JGstkXTDLGvgynngIOq68EEBStttH0bdl1LaF10Ep7vaLKVF3Etop0a
bNxlpRVdj0kmbithaQoSkt7bxJO2CbIE6W1kltk7sPLy4OJK3lw22PtZXjKMU+sf8nbwXxgDuLcK
bW2/9DQVGBGDDiE7D0qgHV1b2RxK+EObImpKYKEpBsvSItKHd+TRtbuGQ37VvAccwlYxyVaKw+aW
43nN5IbmRkoRZVXsU9AeD4bZtLeBWQaggCFyI1FqYMSaoedLo6fomt6F6DmReOEmypc/PHUh/kSm
85ob2beqsBHsc4Om3Wzobh3ZOTd+mYStme5Jjpf7itQ8HGAqmc80BnFscRIvILDs9LfLBJUuHlpv
17cMA3g7lB5OMJaiAqdgv9BUepzqVMMcg/97JeFiIrDloGDxXEajvx7B7HDiUdMnWyY+k0uwJkng
KNXFaFGcEEV8ZI49ApB2+28WmsmzcIMMOJ5oepCunSmf2bbBc4ABOzwFVOUdxhHKu2rpeOk84V61
k0dysjUZv6Yx3UDrduHRD4UU+Ocqo2t1DHP29Hs7lt22Cvi+GSbz8U1GL94pCFQhDXXQ6M3JSjdu
I8Rr0tjzyZe2+0pMCmtTYObJLd5kk/j5lPM6ATEHTjMRUwJOnjPTmbxU8hmQKfVujkNJz2Sa2Ucr
Mt6DHwmueDll/UMB0ZHDY6KaTcIW51hSV0c5hP+1xJB2EcOZ1IXm4ETZLrCbDFN3jpHezsv2uHiD
V4dpQfY2IoO4SkBH7+yFDc6K9aD87gFZwFlZU7AgXfIdHVlvagrzcT9FxKU4woLly9wYZAnw2m5t
kvsJkWpv8lETKHVqOtZBwvH7JgqjyyoJKFzCPeUltNIa6XKFOWU7Egs/JlJ0dNJV5YNTKeBj6bzV
VEA8IhLoDdNhEo38bntl1PFWtoPcB8Is+X51GcbYH8cVRi9+1aQYiWfUIH0nJ/BPztx+1hZ2lHTs
CBknbfsmI9QHNqgMeA2LQbxnIOvl9oSBmgArpEtaecK2yPn0yc/AruOUk+gZMG/VAclzRXxJfpTv
JmCFm4xI2T5wuugHormIGGoqdT9lEE44Ek8Pke+Y+yw1io2ap4TRLE9htqLdxwQO+d6W/byXyih3
XT9S0GfH1hZlEUOzLbfUxc7XxIVczoMq22ifnvoOsMxqQnwTaQCaOWiHdbkoFJc+DtaIvE/UGYB+
RFe/NcgPnGjjke9p4DlP9iKGDRYoBxE36sYLnJ78tynqfcIcCymNcCz2gfiY5pf4VMPmGIs8JYHN
9BIEHYTS2oQaKsCxMN0e9120VNcDre/4zF21hLQSu1gEOopescAwmKKFNdQlG29HLDe90yabKfMv
U22/v26WPP0OjqAkQoGFmsd8umvbXN/1U60OJJuilwZ63WrMF/nktS41Yd1shNXsU2Qis5eRMr9d
3ZeEb6uoX8fg9YryTMECGaqk9A5qZNAaXeLYC1VkBbLztnY89VmpihF03nCi5l4zrBeY1841Ltpr
FSXkdqgzXmtlEr13Z+uKzldCHtSSFtsOEEQoilpta/did7JwG2d0Gq2WrpvOVHdU6bZzicMWA+Q1
KAZfmrhmqXzxyCZp2TE6pry05lb2EN0tgBMbpWrr2q2G+ybtrpwM/qdvGRAfWcEpWa0QMkgM0Qil
EUdYgOIas/JAlJdoV5Iu2B9t5iDOqJybVo3RuTKJB/tRTBtF4F67NQkk6AJAhkiGbJUa27cIJZfw
qkUadsaBL9pgm5EOVCtPK++l8iHtUpU9o0tHuEECE8w140VDsa2aq+aJfZkmmZE6+wLG0K5LFTNS
FpsbxC1M7q0hHxLe72snFTkgRrZI94VXeprlvKUFxyrG2g9psyHVIOYunzY4i2rCd3LxMUdVCC0x
i9e3Ken67/BtIngpDJFGqsNnjVGgwic59MvXTJ/TKk4vEHd/fC+Xoj7wzy2oVLrfZkzt1lTztWE/
F2fW/tBk8SGHYra7JaOBBtRW/oqC2R6hKzB1H5dlZc2XepoiTtCgQO/gAOc2Vt2pWyJ9S03R82Rj
bIul8eQUCjQCD/k7D5r7tge6nkONtnDzR57iys37Yk00COyFZz74KV4CuETGSmLh36OUZEc9M8ov
23E8jBFMJ27oiq4rwUUxtTa87rrwdiwpxibqenOFqlVczQOi09hg86zIvr7WgdtvkDWYOc/ZiTpP
Ugy9rL94IIGnBK65X4gpPcWWieE4ZeT42RWLcFc106ow6/pltSzSZM8o5i3V5TVYrbo8EAP7qm1Y
BJqx7wOZmnaLpneXdlN+nBch1rV0kDUty5iepzyPv/DidRumtvNti/vp4Is2Ysgvu/MiinhL8vcH
Ust4Y1VGvC1S+k+8IKMoK8/GfK8nQD4qo9dojMiuD6V53y7wMBAE7S1jWb1dICgAFHXjCjsWV0Kg
bXNrOSO0GDtbtrVO85M7kyJaDeUIb0Dng6JtgiI+WxPFi7DvDNiw+UQkkekdQzgLHgQyZpN4p9wd
X+ZO19e61je6qPsfomzGK5JmTRhbhSYtbt8waOs3Mur7d4de8R32pumA4XKHc+WZyj7av8aFJh7q
e6pjHZXZJmk0LXujx5iz18ON9BVETB6Ce4BNx2ouuycXGQZMWWCHLSbmHy28D57cbAqANNbQBUCy
hY3N2pzXXnxDZiG+p/+2WsND9lakDLCGOmbxf9g7kx3JkTNbv4v2FIyTkVxo47N7hIfHPG2IzIgM
zpPROD59f6y6t1WVpVZCQG8ucBcqQChUejqdpJmd/5zvVBuEjP52jNVLPZV6VRnddWz1+bqYhi2m
OkoJNX3CeTduVMVIDV/qvO8DTYENwOd2rr2zNRMitJIkuWNjj/8mIqk4zVTrrUrbt1YUhT23SwU6
qua2z8RHKZNDN5j6CPWalEPcWjDKPWqIAM6z9o3OQeMABNIObiHAa0a0ZMdEYaKMsTb8U1AxIbRs
ck12/kjgodg0XYZ7fXA3ZROBecjGbOtH9DJJ3Nv7GAr23ubzV6pwP3Tjhq9eITU+F57mYZI0kcwH
XTdPk279VdvTtmF0z35qgc/o5w2X9i3QBmt0bHz4SfVs2dm5TORD1LNCJYV5gf39I8p+qMHv96Q3
u5VIokctUUKLpj7VLiY81zwb1twxQuna61wZsAcCk+abgOrnwQbMOnq4tygPY5Wixqbu97ZsipfZ
/kSKy3e+1ZBRH+j/ZlaNC96dcCsVbfLYVQmQoLZ8UrP/LJuU/zXfsjp8Hyv3OqZT17FcZkOUK0CG
UMCii/gptoKDWxSPg58yHGqOtXbytduWN7bM+LtbJDlk3UPzhci90mk1rCyjSzeOi34RNxZ1iEOz
Q2W+x9PuHrF/f0d2OMph2hCHJqxPq5om+Ltp0jg80MnbX8ogci9T7bU/dJ4HiGbuESA/oBsMi7s+
HOZ9MYTf6QjjYM5x/1E35JmXQz6PrOHKDyx29a5onXUUFu5OBSI/TQwR6YsciBvFo2y2Ds5GCK5+
t2lH+DaEKJCTy/JMEn9ct+XIXqWGTmdjHtsbEUeEdsCN0bkGexi+MJAfJqlWR0jdcWhcrvi9ObcS
xza8B19GF8cmcyot9d4XeFhJlBBoZfdZZBZdFSHvfNJ168YO7uPZPttp+KKn8qagUoDwGr97ZEAU
TL1cHeN4Jp/mlE9CO+Na9RQ8jmn9mpp9tQHRVa+S6rtnOC9Aa2BGkURZT3XLj6ay59qyu1vciMXz
iBi6mjDvHhRdEwdnZr5ChyneraZNvyV9p/GTgyfsEEROHsMD0n2NsYHsxd7WU++luSQJpOSbCoqF
irS/uGYzMYe0aQ2y8+7Lm2L7Au+Y3Z20893EqG6HYV0TDRDnkjMLwDzHPw1lyOYIEptrqVulOWC4
TG1f49pw92UcduDE5oemiyqKNinr66Mb6Ij60jbkYUfeHVsnCOWZsR0W0nTk3JyYkO1mCwOzWny7
QnI49kv1YmeA3DvfFjsrUWIbhZpulUGOj5YBb8EryQMNCqp5BHP5Y+RLnTxFHo25D915ZlcfrNjo
9qy34qZugPZQqFmeCoJ8BGO2sqT/RUxNvmW4k54zYJvPLUbWZ390f4QjQERIrf0+zm3xQnGmPpRm
ajzUda++D9zbt8THJNkI+NrYaox9reN+PxZjvB6A/N+4XVtsHWScDbVEhGcY/hCpYzdfsu9rvSex
VLF2kbZ3wky4DVs0vnUOsEasurjujm3BvJwerLepYatIK06G1z0ut0ljTmvyrICJOSLvg9S10apT
9kqpoCOtKV0wXVKearK4bzhFNxyY5Dbn8d3R1tQdQye1iTmD/1dA6G4T4absFrP65Hlxv9Ao7mKE
qHVf8IvjMw0OVu+auxEthfza0O0hwSRnZ1TqiEd+WwbDuAt40DlLUSLDXL2nWkqxr3Tt4hwMHRvc
MoePwfBt08+UhNdzr2jnsOS+yLV7xedM244W9P3sWj1IjME/hX6Ac6arIDgn7OY5gD0MrWW/ZyVV
UXLUnzABgGlmEfzqOSfXEYcveTJ/chxX98HQQJqKlAFo3ujaHTDM/soQ7ZNluS98bHsqVXCMZeds
W4Bs9GkwJFUhkptFkxtD0UbFN5Yw0IZKRdq46ARaULHMFItErkFxcPtUVb1z4yqMdhz6nJcugoLN
LVi/9CnLdLgEdfyyYwQbE7hag4kp79AqyqcacAUehLj+lmaxfZ/0ibi1FsttPHE0ZJKbqNvMCr43
TOzv0eMk7gpQeoVTVxQNziDfAw8zb91518RK1XVZNdlWBiOFHCPNAHUTym2DyWJv0MiDZ8QHOwOT
DYYhw7mVC5p85ZtU7qbl/D60jjhEczS9xpWi6CpNFQqH/A6fOWVzAKyAAUG0bQu7vuR2CEakn5Jr
2XPS8gMbyksj7gJH1mQZgKwcRqjC11FfUkpcVcmV1fdJTiwTRZVEZ5d74Mzt/m5KhfPZp0NjnQyg
nHvwa7a/tuXsvZrlKKCqDt7oblUXJ1/0pCkPkw+G9us40tPjTFDSW+fCUOHWN4i7bpxM5a+DdLst
jSWc9GY9PwpsRfu6z1kdp8zZMDV5SAHZHVSgso8iJCuX4q3b+OMYbUUJQCxra/cpzMqrTPc3fmGq
U+5BRa8y1g6e1Xw+k82lx9Dzbb6FNzMJjkFqY3nJq2c+SD0VeVm9Zsu706yKG+b12S4tceG7mMZ3
lDeSB0t9Xb7V5K1O2i2s7YyPYto4VRMeTBc+29BM8wNxguYxyWznLIpAAAEBSyoWo/VkpKjsbV7n
B7OG68BHJx2Gk3DGeDOZvBMLwfpL4tUvqC4hChl5g7ElO7dg8mIjXeeaHu3Gi9DSpyYLN1nGYkAo
rjPAyzVtDgZ7qL9Rg2W5y2+SPXq8f26wGeIjLV2gKSGHyX3HpfavWb9jjHaWug/dlrdXdi/9oICF
CafNRb9c1YGIzoPb3Tp4nqkh5O/ThkB65t7Ae0GZQRIO67YPefEyR9gZNOitFGyDvUdYsSZ4vsa8
tKaoBIjwmLn1qg+a7OzSkLDKmvbZa5I03pA1MDgg1PKb5Ch1gNlnrZWifWUIKAXxZt3dc6QkqpwV
6b4gZ70dm5q/lY5fh4nVz3K7cQv8V+yRPj7nFo8h1AqG6tgpuyk+NIOG5V9OgB39kLiUVbZbewkw
lB3OoDwhgFpq0FtTnDUn20/uKWPotoAeTiGhMGPN3WJuJKowKNqwO4MctL6PlQeqrEiLwmQPPhGr
JxrrIoXW+gpHd7f3PNeAz6uE/wlSPdgTgahfkD/qu9Jv9X004OD3Az+9cOU5FyPd7cxeeRf2ctDS
msjfFTx9G9FbP3QcKSIG5nhxZ4xNKxo3w+9osOzw0cvrqxLfCeUkvPPEqm89z9vBOYBoQn8yaaKs
CrT+Anhmjlsad2eBu3Nk7AhYL+adCVDzibW0c/Ha56hZ7tRxDAZGRQRcB1NNd3ABgCPySTPOlVec
tZulT5nsw60Z+811i5sGrsYycQkT432q6/VIucYWAi1/eje09+4Af6qoTXFBFvH4o9sA+aJF0XM9
kmS7gL1sAE6sIToMcXhbxIRFmPTQhK7KDfCqnrB8vtFt2tITlm45AYXrWtVf3ayeSNYGT+U4ALho
gXiR2CvbgoTs/FqU4wuEISBVOrMwiicboyVGTbY7Iv+eJKeoQhNioHOM8sR4bgcDUF6CdonsTvop
npNTHY6booidna44dTWRmx58EXCY7R0D4SVW9pEdLEnfhOQPcBTNqkii0K9bpJ0BVLTyNRSsdiCC
D04Bny1TFeOmIstS7YRRoOOgaMQPNlBssqVddSTVviAn4/pB9lOBVUzjqluBkmNKjeAhQYR1lsYo
S10uLzBbPoqobg4qizhEKk4r1cYOHXWiOlHo1SQmwCB+q1ZNhKyJA1m+8r3mnabiehlUuNWzPffk
8zix5DRSRNWC7GvsT+KObHqpwws2VKqYFibmpn6CMsXLkmIRJOTMDu0vR2Y4FQfKT/cpMwSWN/SS
F3oXvFc9xd41E6nqTKuwd8/g0ztKy7afhEux+IZcI2C3yHAG4qR5G7z1k1+xkTHgp9I7pAX3tsDi
OktEu84teLbSnro2WOQOvKTSsZ/oLhLPoUhrmD8YWlc6aIkgNgKYjcKNMq+awMk+G8MVx3CkrEcw
GXlICjeMMNwZLetOJd9Jn3sX6qry72TZQxTTKLp0Y7WgoWzQLi3m1W+pG8ynunCWTp8hQIbIDQ5M
NNoogup0Rz4E9EfWa9Cz5reW8obDoHRfEIeL5W0mSDLhQm2jW2PGVUWP+24x1jyLNtBfVWlVzwyR
wpcCZuebwbO/NVqufMrlzI6SneRhKpP5JZyq+BUuMo/mlIT6zVKG/IYK7LznGBTXfT1jIViamECc
8XZeAsUlt8ipNhyHJaWCB0it1pc1+zgR0W2wPWPza1vfKdYTWYhnwy3ioz2K6ayGIXhLTVDdwmuJ
jU0LmBiZWTLH0BAgKhV+mxFZeACqvHnzSx2e8CUTXONHUPuMDSAe4KKNd1GPx2owyh992VW3oCnE
nmGDQTOFq+imTNgEmZnxniD3UO+FjQLtRtDYY0b5vo+y9AYfB5QWXvsYX6muuGVchi9pxGu8dZOc
TUlpFfXD1JIXXmVTDi9wchEhHatNz5Ye8qMzTP5xDGN9SpyqJuKfMBisTG036xRA6Ay6JskJyg5C
bKjWrs68MHxg3gm/nEVeo9pzTCa631sNp2h6weF6EwyjqWYmCvxhpmq4Q7AeboUImwfg00sOpcvP
pSiz0wzz9CtwXP8c6ppWKsczjLVl9vaXS9HZD4pcBofO8qp7K7GevKZKtd4qtz0lN36yFLNMA8hj
ikNsSUYKDlbMgPSxdRuTzp4KHsWK4Iy4N5R2niOvKD7LSD1DKybN2LIj6Sf6Z2kUxbeF4t5ktzNO
329FG8TeWqGdduynKAT3kN7nQ6uR9WCNQxbnGMBF7uqeDYaBjVOc0hgqxibWpmDeAD/jBj6JSw0h
U1feEVEJoZNcyxUlZWC94cgA5J0hdcD96YucLBmLDQ5nBtE1HbrnvsH6vOKWsG5E5yHYeVpT4C69
6FtHaTxwG9W+OiZszE0BDuHYF6q6j/mh/J3jt85Ty4AQmH3ReJ9sjZx+FSTF9JHSIoS4ktceVmns
bmykrHaadtzNabunJXlRBuknkWsvKOV7R7kBqTC2/FdRaA9PUi8rWyCHfYSJtcVLbQanyJu+K5WB
pPC4KCuO1jwn7JH4BgwTTEuuK5qoFh17ZI7jvUX5nH+qaAiRLLULoWXCKmKa165GwmQtcJTc2w5V
yBsPBdsiJKsYeNj8i0dT9323qifHLLd1ZOPZ60yvon8uTpDOWpN0dOvkR/IULljaSAtz4wngVABI
mg81US2+Hh2T5Z/RzXSVZUa+FoOWr3PD1IEhBoe3QoVFdoDcZ3+S4xJXk3JKDrjzZO6nHgCQnZEG
yMl7U7/IEIhbsjzCnmNQ5jFMu8UxOcJwgTuvVm3YfsxE7NniWYZ6oVO32Ax0sIKSqr/s3gyusF8G
JLXt4HaYbUJWfO32RAmlOk9TZ2yY1XLGn7KdI4WxMpj27TnbwEzi1Fx/NX4Pa4hIXELixb3kzH2h
pDbRY1wUdrK2WgO6cWHG/Y65PWGG1vkGTH26N3B5fhgSaQeX+/VkmdVn59rpE0TYXBzmoQoQf53m
FZciXS3kVG5ycJn3kWH9yojxV8tLIBxcUCzcwMUcZ7FP/MGxEGfCg7HQ+MuZnuEpJ+ZbDxLJJYfP
xrrNVvWC0zZ9gh7GUvrvDRPOv7JLYEFhCmp5Fsabn/w9s2VIPwHhvJ9kpC/4d9WhVy1TBMHY3h5g
75F4ZGmtRNp/DjNLiuq6Ylf3GTQcftmsJtbr+wViZy1o2C4ZMJWjtHegDFvmzZZ5W0YDrRBWIcHr
s6LOByWd6jQ4KX1LLW03Vs+owkUbtHFqwbQdMqq5sezWrPW5gbBNw3UxZvRt4A7ayJB3Wac6hx2K
+zh2HA7cYTJvm0R+pCXpEIIB+tAYvPDTqvSqFYcxrFKjb//i0ll/tREGAZqtQyjbQh30fjKxFdxK
XD6H3ToeSs4N4tZxYOmtu3Q6liaWpWHCm2HTX86MqJuukrabdkG+ZReweAwGaxMSDKDsKO5Lf9UV
cpsGNDwJYKzrajSuRtFx3s0zNsB2mh5g0ni/MOYsRtKf3FZLgg7TJ30b+Bn8xTn3h1svYS2p+0AF
e6HqlCNO0M9g/OcxvpoNfW+OPSR/Fuf1NLXxyRSi+8HEqzsqsbj1ENxcs8x4xAbqTUt8G7+4N//V
X86hcob+lwBn6k/XN0LDk6YkeJ6ZCFWMIiE802qtfvEx5hLX+7PlDM8e3TjLI8Cr3fzpc2oGxk4b
YvJn/DllLN+ecRgG1UGXyRcGgUYhyKD0lWZYbsKul/cJm1DY3kOTkVKxgguFihm2GR4WIivFRdsd
wdosnClnSsRjrbP2+d9fGvNnSyPva2G6LkFLbL1oPz/ZNJu8mREkuPf61uKlMMOEWnsCcTANsxre
euw8B9mlEklF/flStF5YpHX7PD5NziQ3mBmmTzcFnfjb3+t/O8t6Bg9RtdWX/nN69bdE6sd/R1v/
X0q84ob5wy/41+onBn3FH93ZS3b0/zY+BfLvizmVAwgLm6RzjRsUz4X+x9/84O8evmzHk44DQfy3
f/NPc3YgPUKxVEKZwIsXH1wLpS3+x98s5+8m9uGAMjLPddH5zP8k5sqI5k/Ph+9wzAz4JECIgefw
WT+tT1XsDYIjkH0IY3rDVogcsbntzNCm+bOiWoTg+Jzf+kkYx3QS2H65BsStmWnrlDRirL2+XSlX
eIpBizbxOgnKPu3C7egANLowoa3IoeqIqMnWIo/yY2LLPbCp8pITqZWOwX7ns08P+uQoy2ib0hN6
6ySldRe0JiQhcMEYgozyerSC5NhG4XjuLOfBd+p2zRUkpFObalNRm3CGbL/jwL1JHRwxOBVPbITX
Xk1166yGGWMDp3NrieDPyq92HshElMZuseqBE6+a4BxGhnmDQyvaO3PMXCVJriYrpyADmD+VH22w
q1z7E3SAi028/aD3wN9nNSXvunXnVTeG0xHyvr6bg2AgnyTiz6ChajqfTORpU3/zRsM/YMmnHL2j
228I+Ew/kT/C3jNvdDN+zh0oZEGj9spJjRuJplal83fIU0cjsje6CF/Gxr6CB3XtAG/RU3finLlP
YkErCDOhD6fyh1042p9sfvetQzVUJieyWSxblKw+RsFig00YvrjZolhFyDKcIF7y2B232vNeZSqu
U0Wnoe9tMGqrddKNzTaIKKPDEUPR+sCOj/HlqSiqiYoPZz8aDK+Io99mqmYSMo/LeISWrgNCz/dp
MCCcKynuZltal6lbNqxsG9+L1iIkWMk++rBChIw4HfkTOsYtGKacD6U6A2NO419IrODSGuX0pRhS
r6hPtRtUlXG+gqk/XKs4uwizTr4cNaBkT7W9MiOmfUVLRI1jof6ss46BjA+uvAlOGej/tRmZMCFm
Q9kXBJsQuIB/m1VesBnkfO/H1V3mCaaKg0eWNxmObp8ndM3ig6P5KbRu6QZqNok7fVC2O+58I38v
7K4/t548GlY+s+3mfHPveR21UARZWeZ9BgaSc1FaDxB07XnNwHC60pl3MQ3HvddR25rXnhemAbjR
0mxwMhkJUGInK7qdLqDdrA2SSOC/g1xS0dXzZTc5Uhhl2LKDZSGJkJMUncMCImeSSr4wh5l7RVie
XZJdtPBFE5tBQi5nIdZdTwZjVYuRgzc1ylNE9CtmBuKZVehtQiJU4G1TE2gVrYfxuOIoCffVcJJC
HzozqImaW7RYYxN0kvqFXguVwJUtaWZEFPYXBpFY6lN7vwSwEHOIoEoL9PYVGn0+7JjC4YhlCKP8
B/gx8FMyNzeqrzpL5oDPhY3KRCvOg3UEg1GC5AhLh71o4Edb+k/h4UU9xrR9bMvJWlUkpuRWg1uL
d2Fh+O1nZfVxwbnepyzLrJBKYJYH7jvjg+mlHHhiAp1CrCQxOG1SrGXNioK1uDogoDCZs3pEpzUw
FSo+3Sqn2w6ACBfLY3+qemeLzhQ9MZLjCdFApi3qnnGt4Epsqe76MYSLqSiJhwG/PjTO7FZWaZHu
ZqKlPolQqlVu4qzk14eCFu8X2y8RddpKOKFJn0DfxGgZWbuLPfNIyYbOPxomXsku8DJ0SKuginLl
9CYQkMBLkEm7+D4oZyxTueQDuxq7s0m1wEtZx3iTp3BU7qoh5plX80kalvVOOiw+l3TBfRvKik12
Ho/NuataGqRif06PxUhK3odD6MYtW3DZPqbae4z1+OqXKWatspnefBfLAP0N+Z2dmrz2koiOtLLU
D8h61a7vW/8tshi3rWztzO+mmD8H2VHlIbryOTTUIiIiv1ItimamryR/Li5LTrEuAcVx6Itrja/I
3gdGyBWlN2Kpv8DXuaILtrlMKje3RjwyjY6GWlvM5yB/bq2yzIcr3trPPZN4byfjRj+khZfb95iG
6QDNSQttQOfJKyR/h6JppcV472I+mg+5Q3FZLygoe8g9M/4EcW26qyFha7zxlZM8KmY//TsIHK2Q
t+AQLhIyptWGBnUTlfMAyOf7iD3FX0nuZXPlRzKgoaeed2bYUu0wtv0tykZycQx4vr09jmff7u6m
DGt+GMv0zocRBIYJMooxCw+aXD6+taNb39WGIAXaM7F9bKlIvZtCVeS3fVBV30vbdQ+YIIdj2Bce
kdyO9LkME/POAPe28iwdXEhzEo+luML/HkF4YZ5KWRAJYJcuOmV3ZJhDbftffj431/XUDV9h3A+M
WIPKQwszGvAtnkGHlGXLON56HBPzLxyj1OukRixusp7tclWZ8qWAErFn8Gl5u4AtaH5t0gfFW2GK
t4vx67Fi/hCt22wof1gwIL56OohemReSR8YfEqABI+2sgJnhHUhGwEtkT+1zlLdGcQaQ7TzSgdEU
12U9+hkU+8rBNZ8YfboNROy/4uhl3pi2wbhP67CyTtLM6PM1VH+HKu0/iqrMr8sEyh0swtB7ypXp
vs8dK0gy/SY7FVP0KnsDuvRoRlTmTTk88gmou2958hCCgdyakWtSomHpY09mo//Nf7ZxO3KpvCPo
Yt75CtGdTOrkUAsYzO3TSH/rDSca/KRj1DYkTVGFqCswEvAOwFDLgbdkk9O9LZgPQMyc8i29xdWp
1WOH1822W/dOpX3+WrQRN12FQXepDulDewMamFqrAIcfdN6w0yHNK+gvBwzvrH+MjJhN965lTBdX
guG8M8QENpIZMNQeAwQk3igbpWhTAw2KNsOQRxlZo2zgDO+bGdKXCtzoOimRUNZ9OfR3JtT16OTU
syuuhzSdYUYHALCZRlf3eLgY5sypMXX3YZO49TPWHjRxF6hpjguGhKLYlhmPfBDj8RlM2t8ymk6J
RDTBYzgW8i5l5wInjMAKVoAmORjObB8AvYzISol1YD0rLvYMX8r3Wn9PbSKi0ARUcWOk7Xzdhg5D
pxIu6FWC16JZ11irmIe3vfoYfdwTEMcrtg+2uGknCnMTFWIIzrO1apNwqyURCsaweJnNrrkq0iR6
Slsm/ORhDWa1tYwe8XVTW8jupuQXrsDKTwxBrmFy+Rk6npMGB4Qxn5+11q7N6ID6zVuLbqYLdAmb
YpXYfnIGTeaO+dJAYbPMeC0XWkrG+ylxD8MP7afJ7BnIVNOEfS6Yuu5htNOhPpqcP0+xNUefLHO8
LEM1ALHrh9iODnkiGL5x/vhWm0VwNcGLuJ2d6rbxzHHfAkQntY3JTJWze011k78pO/eqmXGXlBZe
CImhe5WUIdXb7vyNBSN9iDwr/6zRfPdN1piYw2wjO5pahegcjtd8RlHJFoyBMLMyPBQ4mFig6jH2
ACMnKjW3orWdXWN7C/XMZiHYDyPb9rMba0olqgEq4jDSJ5Yxnlg3eqo+6nbCyWfgK9ZmwvivEpbb
7ACtU1oFji39pSr2ixPPT4oAI49SVJUejw5DC40g3qpTmRvp4x/OgP8iCPbnQ/zvByvSlhzhLel5
lvuT9tbPRVmFoTEcvVFBXGaalK6bqXG8XyhVfxYYl89Zfl8ToUpwIuT/8nX/oPKYgWFpQkndce7K
7lu6rPBSz5wIosnHozMaWfIj76GDMf0sLP8Xn24tV+uf+srvH++hbjqBj/Ytf/6ayRBlBl2C+ugo
UB6QyvWD5RdyR4vszE3a5nd+A1Q/o07zLZsqwF7sJnoRPM7sLpzfthmIx/my8Sgl+/55vB29qjpK
uwEkJkTE3D+dNRxEgwTppVWKV1XFgA4tG4sL2affVY7/McD31y/ESVggunBhfQvrw5+v50z/ChaQ
rj7OSUtmn14oOO3ozoPYdrIPWOOj3Ld/kVr+64faQgpyyz47U+mJn+5JRdum08Mk40Oj+Rotmb20
hpZH5MKbmm///s78sy64/GR8GFoYX5A/iajun79hFNhWiadEH4c5Mbausj7RX3eFGPUvvtVfHwGb
29KlTNpD5LDd5d//4dakXdCsmYuUx4TiBX1xzDpk4YRu0/1K5fsX1w+dk1PkInQK1/vpR4systUu
7nKgPeAV444tRdiNcXSN+mGTxbJsq93jk+Cct7A0LhkpEOfWN4E/L1s+Ynrs/moTp4pWXTgfxt/2
h+q3veK/v/h/uSZk07m1iBGbXBbX/vlvajiRVpWfHLM4Ft6x9jt9i9ecw9J//Dk2j73rkljmY5bk
/x+vvWzitomiLj6WIYeBjYKznGwi3BO/R8r/vyj4ONU//vG3b59FUm6SVqvkQ/9R44NpwHPzP4Mb
Vkn8Tf31P/id2OD7f7cFDwZ4OWYkxIT5df6PKGj/nRe5Z0kMEK6Nbs+d/k9RkOS+J4NFrJOWDHiu
/ykK8l9gyLIFYd9F5/5PREEiXtwc/3ypExsW4PNoZ3PcZUERP3MCSDfmLWXN9r4OTecxjZx5w3it
PI0eA6Ce4zGJlOItzkDsjJbvvyVIbdeMvzoOG/zD2eOIl+e4crKXNI7JHvezPJsE9MPjOGvSfa0F
DQKvjJQv1jyAbh7KXF6HWbxoVprmnCyYJE6jfn4Bb1F9YTfSL/HssTl3bF4l0gO3I/woXwWtMNZO
U2W7QfhwwlRv3Xft0Fw5bVmdkN5YOWhIOkb9tPB/LGNh8M6Wc1XjIrpK88Amwuk75SOS2CyOvEiM
K5HyQWvXSYGCxRLxL3aL8Indc4NVynCvZFD1701S44NKDT/jKO5NyTNTKPEU4qyn9cKO+LPtipkB
dZ2Mytj5W5/B8vitZFxUJ8bP0c7tZYY/OlWk/touuSb864GuqgLSYdircMNLW90ZdcWQiF3WdBfw
lttx2CvPpe9wBiFCQkwIK28B7RY58ItqCeM+pEaeMz92PDaFLqa02IDavWqNqbmJcd6BDwfBVO9C
0BxYX2M6D9t5mnD9uzBuJpqt0Ew4h9HLaNOH4FXXbJHcY2qaMNex4ti7Atr6wepcTEuj/RXrpfhZ
xrQCwURw1CE1Mk47IGw6erq14NeNO1zhq9mHnt7Cj4V1X3rbSYt613omtNlKeLvettXnpHPUJMJY
3b7jyPdRMy99YyIuTygj0RWyRHUn/cl6GugbPGf4zxiuT8Izdm4tUmM7UpdFxxdcKRoPUumeAE1P
B/obAiC48D8aN+ME7lZOcUIO9q5hfg0nV2skSrdGakyNYWtKen8Z2+WPRekiawgnHg6VRZ9UMhtd
DSXRFeT4XOD9gjrfSy0FVlAv8/XZVb597Tb0jglzgTqFISWOXTvDsisHLqmvJK0MphEA8I06TltZ
0I/X4dA+FGIO37H/ZCcjc5w3DxfZFUfv/BBZyuIyVWZwozBpiZXr4Rpc1T3aGe6OxWCWAWqMqcwA
L4TgsJjQ/Ha2jy16Ezhf2VrbZOrVPcaReedP6VYMiYGZrnmv6Z7ehLIidKN747lZ8hUqqE5i7Iyd
14UYOybnojPaZZhk7IqA3pJQOS9hjN2gs9od9IjFY+TFxF/8AaJ+80ExckNYQj002PKChFhdaGfb
PCCeVaPZ69kZLgWCi+fWpPEWEAPzV4qJZFfgf1zsf+ymsQIOlpWVpByI8SQMXqHbt/Meo4CnEceh
HivZrAdhs7N2ipiuUnxI1z4Eii2PYf+ExlWeDRFz9KHkdp87uuvutGSbtYp+8zbOwogHEimj/w6g
KwOB72uDAhUdxR+0zWAC4m0CX68Ssw5Oy9A03tsdF4d+oRx8Jt0D/CX5j1yxqn4zXY720Bk00mqF
lcL3sk801w5mVGrsfJm63BZ63JuF6+xF7whU8sY8mopqqX4Q2FUjutRXWDrDJ49Lu+507xPxc9EV
qGMkB0DnQgLbi6aNMtXdbuIMjv8yEQ9+quZ3HyId6RMieVcFSb2j7YXZLaiocCfSKvmqoQ1qfNsu
tR0Y6qbdAGd6m9gGXpbZ8njg7b57q0EjHppMDpStEsI9TGHCOazKIipuW886o+TLlZ0FyYHiUPVK
GBWXq5oodguHaFcw+tjmTtk/wDxQr0beZUxgOPFsrNTz9m3HWYvr396mRBpIp9ZO9z2itWbLTvww
R+4VROfpWpPTfVVW1MIsHw/dnBkPnEWzI/0esFAB7l1kK+YLebdi75elfduU13Wij8gi063QSbKx
PLt/YlLV71p64611OnrAOrPauBFtKeorm7vpMtQqv+aUnvYQHQPz5Az5WxgE+s0zsuy5SbrqzGXO
7opsdt41AdSMTkkxUuZGG94liknIx/2EkGhFc7tJO4gLuHipS6L7kQLUuZw3Q9gR7Q+6KxBaDmHd
3m2weM1XygAMgKWFn24esnyXz8X8EM7aUmtqlrMX/7/YO5Pl2JFsu/5KjTRDGnoHTLMIRB/BnsFm
AiMvSfSAA3C0X6+FW1l6WWWqJ2mggczeJM3S8vImGYxwHN9n77WpuQezNqpb9rwssXJgLKxYZrlu
3TT9qrO4O1C+yi+pgD9GSDDiXbb8v0WSWHcK/Mg2In6xNw3p/sKlPu3cMOLoY0k8ra0yLwnDGyNp
YRvc91nQb7DUz2GzG3jcy6beGoSXt1Q8DQ+x35JnJy9X7UDvZgcAr9EuJJW4TmAovIBfm5+V7Znn
2dI53w1Rm0dpUyKwLmPLOES69UWtcxboxpB9OliEM2IEqXweKfbCn8joQRC5bsR5lF56Mb12Qpfi
bIWxQ7KSZlPqnknR2010a8nWomIMiwps/sHP3gfOUxzNMYn4zRSV1b2wPVKIQ53MTxVwFloqqqI7
6pggr22d9c9janw1HXXauyRstZWIqMYRfht9i05F29KFGruaTPo8SOFiiATwN24gz5jXtBHDk+Co
+YDomXDomoTV4bPqLCZE6shnMaX5d26hJxEMZeMVJ6wMCmW8xalpugBKautWIUgRnyG5H2ke8HMK
wGaKKF79MPpc+lX5aHmnmh7ZTWHiVweTty9r41Gf+T2D0ByOYDpu0PlruDV033rdMIPol5P5mDV8
SPYwX50TaTn3safAYKW1nUlW2FcHL04ZOkjktp8yJcYw4XQ2JrM5YL90dnXKw3TFliEN8iTNg9Ix
h/sIPhbzns6jFffcVvJMeWaVkm+JdFdrrzSaO7IU43MmZw0zvO+ssrwk1NLm9G1VjvZEOexmtIl4
Nrrp3UOoKG7Iti16UJK+GNNkHvqm6DaAk+VX2aQZXYRtyfKnL/ejKP1X1yqm29Bwqy8MECTU23lI
V4PrTo/I8fW+S8lXSbPd25Een+MK403Wx7AbSsCiI/7THzFrxlqGzi2R2eRUaDzuSUcan1OJaEi3
lQeSdOyJFK8mEDKnvOD6zSSZjT9hqA/nmTKcBECB5t5MbsNBQgHBZ9E3JumN1sMmqKndUAzJnTsx
RxlR6G+FMmjcS4W8sKtij5mA/wMvzJKgHb9whLd3iaxvOs9SdKLKNpgMMqyeIvUs6Hs+1wrXOgL8
maEzCXD82njdTPp9Jcd6pWv2VlrZDmMOie/4E4n9Sxr+LU2p7baoFHt7O0rEQyUldaa11I1tXGsn
zsSio5syjZ+KmnOVrP4IFEkfOtxA5ODnk3DVsLUmpT14MCD1t0HOnjj2MEZ2sGt9fvdVbv8wZFWk
/0CLXnlI1btxUMa3cMgUHGe8l5TUeJn/1XeeYWxhHszvrd1TqZk7IrDnbr7orXbJjNR5YJicjqlP
A4Olt7RTNonPNLe0nHqorizhI6MNVwNNb095ZkT7olUg/hcdcFDpyXKke8OJoDZOHRVnNzL7ZlVE
VvIq+YqzWWjYn5kz55tGeVPGirMWbzmT9WOF9ezM5xXdwdBwNTb11N9nOA8HspTU1tmaQY2AdMvZ
3IBX1tl2U4xK5VuZP86Ga1JoPMjojeq14my1GZV7NB07Nxa5QzI3kDlYlaYFLJ3IrUh6Kcdd43oO
XUDRwLvWWd1E8yaadbbSWSjjF9AubCKkJBEQ67aGu5QRAzvlgXRSccN+010yDsXF7F1xD6vHthjA
yEivU/ozv7wpMT4j2XkXlw69N+rXugO7XpqFKAejGLqI4iym0gYBhM524HyIviM7t0oa9SacB++p
hVlMSIOt7GZE1cN2C7DArh1YOzQw071Gn4xGyomMW9jsOLU+4P4rAhIdAXPPjne5h/djTEimmhFR
N+enRjrZh2WlHUYINeuM6hZdxnvbSW5wlUD8c2UR5CxJH/Wh0egJgrcSOjmRJT201rmd7QDjHJgT
UPjtbl4P1basmA35To6uU/7o7JSCJNL2pjviZMsYuLkiw77IfdgzVfziN7i9aQx4UvEMpiGPnoGH
iBXXQRoTUwWBiJ6pavAuCEGAfui7thKqUrmMfLIPOWdOGsDFhSnqJzwb9OhdVfiBda5myMNmoDrh
BjN5LjIrsToIICGbYjD6FeuVGadfYQW0tLIyoCIjSPoSc4qPJWHIm22Rm4Gejx9s4oK2i/cKP0eA
B+B2pmzlbrCKimi7Pl/47JFws0Kf+hrfWA3D1LAR9U3rmJZt9BBKVg12SP9JVPfdBux4RxtU4gLz
lKW1nYs2YyjVJtKqZM9YFDpGuMZfOFnUpHRAnESumrNLyWJCfJzX14NbsstGjc2NZfd7WxPhtTPM
7rUl5Zau4xhE+SoFyHMa20nIYCb8dw9zt4g3biT9a24X4wdFXeGpdefBAfpCRGPInFcWs120UZrj
Y+qfueBQr26QpJIRVC7Xsua9HPVxxYNDfyGikz8qgitYghocwDsty9sjuSXFDEpahSOvly+2rR4t
Vp87XXlPSmXOiQOGhVUivf2Y1x+zTCxMFosVAKaW77Q+DeR6/21OXQxQgUjSTdRZeG/mEChCrEvy
t57nrkcT1taKFEP/zicrWbO6whBAzGcHmsTdjROPaodt3cGM/eiYzua4Vx4qwcqLDX9DVk6ejIgz
n1NIH66Rk+VvVQ6gIHFVVxKzIBDsMbgs7JsiH1dhSm/2b03pv9S3/436ZliOhzL27+W3/UczfZQI
43/vtFjwg39+zd8VOCH+cJD5Adc50Bb/qsAJ+w8bsNziwPTQ2uxFi/9TgbP0PzykNwBCvAORtsVf
FDjxh7twGYFEor4t/+UfDRx/rorgzf7bFYQjMAX+kwCHSOxbtFzwf9H/Fw7QzDAx2WTUaqa95t2y
rhjoKp/LAlx/mr5GvL/eyBnlB8g4fBD8OmRoHm1ro2d1v0cC83GiNbSX2/wdoOVS/1oxe7yaQylu
5lm3nxMnbC8DsJvDVFjpZ5VoFhWX0Xgo+efeLRz6Xwi48VCuDWV/ZcDmIebVnboBZmA+4T/jk5Lg
lqGyT3I19Nz8ySQUG3i+bh6X8f+urS2oDMgsgYrdgupSQjmuDNMrLqH22LDyvPKMSC/sP7cJYhC5
OLoryqLmo9XjqktTRUBR0ALjZMRArZQrBVnYcO1ETo0N1q0imiStcpe0SRXYY5YHFvCQjeWNxWOi
GrHqKZy76di4BOCN4EISOp0SVz8z38uLRQ/9ccx1e0veqb+xzd7e9iLLHnulq0uleGSnwi1vatNu
2XW2xka0df+Ql5z/vfKpHcpZcZKWvAm7JsetN7IyHTv/zWhsiy1x2fNcNylDMuvsNgfsCgqVyUE1
clrlnZo//MImDZGkICTYNwVmTAm0mkUO3kehb9i6SX5Z/rBRk8BQFDW57NSz4U1XY3RVfTS8TnHY
PvlhF37joZ6JMXuz7FewBFhTTzoVqwd8JUVLdUCsvxWwcskJMWghYc1ifE+nerC3WWgnd6XXh+fE
K8aTj7lm08gBe5Q9z14SVOD1Amw3k03y3oIhQDKtrlaym8uz13fFjzGNdHT1BklNHZjavmmr8mxR
xYAS49SPOXSPwK4Lfd0m9DuONOzMMSYHumatC2AlKOFaqV6AjWJH8/zuRfRpcmXkjYK21h5MN5Wn
tB/MH+rgHSoNoD3Cd63pmk6jCeiUmX7FsfdO51F4oVMCxN4owpOZW07QDXSFL9QTw1h8LjwvhZDO
hXhN+gDvx6DkvJ2OFMGJ2wKDeKVleDZKY8GVRP0Z5lL50bQdLn/THvZR4sXnZpLZwaEt04zGcF9h
tAElg7nxfvC96pZs8QTbxh2POIMg+lmN622yuddeReIkV3Dw2aHMhuG9YDv0MYRYAGJuWAExUe80
WHUbJD6cRde5T0ajfqCbpVj7Xd5/4H2pr85IWXlTddab7GXEtre3yJBboTDwdGKWsQnExAF/VN5E
LX577vd2dLLiinY60chbZ0y4hHhSvoS+QxQoLiBLmDUuO1CWkmw7VMSw16cUGYJ+sEgrjAhPZYFP
0nJ48OGS4/vV8W7icTSGq1sk4sh9eiI8plWXUChEYJWat3TUtBdZdsZGxTim2l40WKK4KQNdkdK9
ZHEETyLMuUTgfTO+PWI63x3MsQvp0LEJhqKeDSAk1F+Q76Ugllo1hEl61IbnpCGkvzNcT8/XjPOZ
CHyS8kEBjKFe4VnG3GAt81VX9s7FLAXZbUAfW1BSnIPsEHQnkJjxvHWZAl9VluiT7Sw070ahoNHH
iRn/jfUIIRRwglA+Mmex70w05hBGzBH3Vk0CbfvY0E51phe5emVdHBGcJFd1P2p9+dUi14xM35H5
bjcOzJUS5MvbWHkWXQpWRu5flKlAj8/NTrxNpa0g8WiW92xge7jBcjG81ro5l0dyO5a7wvk2HbRB
d8qdKjzLWHPR1z6jajSh0iNZv3bsJryNn3vNnb7cCSwCzRza4PY5GJHXcI9SLb6lUm/qyFzqy/hs
+tqbG48UAMFEJb7MlgRLGu71Qt9T7SubtaVr9c2Qp5D5xlFZ4yYyDdoZW21Im92EFsfGxnSqx8Tt
magGcn0aVs2m/dSb2U9XXee6MTFmx1SPMta1k2jmYtsVUjUb0cXI0ik1Bo96RFc4Gc2se4Oj4jpr
HLeUcAzdYCebrJ1ixDnNpWmwdUJidjlpx4h9c8+dNjOOqC7uwTAUCnhLMeQPOdjyhZrmdlehJJE2
tLmirrKxzh+STIQv3eC3l9y3f+pJaz6cxH+wx5G46Uz5JjeFvHK3HYiGY+d04/vk9Wx37K533+3f
4M1FUzvobiTCVSIAsUVGLx7CzJu9uwgAEtqRXRigDEQzbMHh8gM0IlY7cPrKXrlc8geuOUX6zFZj
PC2VOFcdmzsY8txuA6ZVApWD2wzfhLgofFiSl2usHPomjgfnomU9gVB22/ivyds6B03Dqoi27Xqv
ElXoifZ10iqFMMFDGiVvwCq2sWgjJ/ckHiPjuePqcckKB69FpulpsilxXr46ArgmNwOvONLGtsCS
aE5MiLP77bHK8/oF5Rr4aUJIUa5DQUHl2gL5364bXD7nrOQXp1k5rbqgWPgGYQLlX7VGEGU11ul8
U2o9nxgVGvkLvJjuxBlqfOiGml7Y1XmHvITSsgrFnHL2lpa9HvirEeiB1b5RIjDftz3XoVWc+cOO
LIT2BkBlPJkTa7aCqPG3QZsnmOzSv0YzBTG69PN728JrFwwjHa+xAlYDFzWkuQrP1DeHrrpNQ5tb
GxKEuva9PalgTqzqnY4HefDZ1OL3sKT16CSw0lacitpniUcJIKSrN4B7/FKzIVV5jAosNPIP0vmz
3Gl9nzYbnM4+MJ2kauoddjX9VRUN0gP5328R217xYgyhbq+aaRAPqZXG0VYMCBZNn84QN7Mqu/Nj
Az+xoruxXduRM5xCGv5WXprG94OKEStoVcVIi4GNitv8k98Vt5159OR1aBVPgV7xfLeN+SFrYggg
mVVRt8OaYVkRSRRSTSwRfbPW9KtMM6tbY0wW5z6eXaqWQiEiUG2N350FO6dpk1H1QP1Z7KhbnXUg
b09itEQuszh8Dd0RmqYPhZQbOK8qpnt57YjU3qsh8XGnJ/ze04YoBwau+TKP5A1XoPHbh87I5cNA
tQ0/M5T6rUvcgE98lBSHhL7Bc4p5pV7bPOF4ZziTwPrXGVujMjrgin0GxXDWFROtgQOwTZv01uW2
i6HcK82PmZzsVat9+scMtgQ3bjPyivh5VmMDGXmFpC2TvTFG3gftMdYvkml8WzBD1dWnupXXF2BP
AAUg+sXtkEr5vPOvCSmrXTwD/m01Zd5ks5Ve8skBB6E5+bxLgS7tedLKjDujwQqnSNlR7SrMqOeQ
5OVptBUJZJYsKg2SJG7fB6wmuJlxK/7k0i++wy61jk6oRZ/sACaqXdrZP6ND38QQsg7TnPOY/69L
4/9JcyF3OQt33H9yaQTM+++aC//84j9vj/4fOnUalmCRsBRv/EeoSzjcK7lOcmBbtvH3uNc/bo/W
Hya9S7g7XMHukHvk//RvcLG0sEjh3+DtKn7/p3+5Lv5n10fc1/9yfcRAYvgG1Z84RSy6MBZG/V+N
V/AMGOGVtyuJTwSJaKcaliomegqL6l+8Izmu9BjibO14O1ejtaiwQxWIIQ0PplubXzzGyz0PHQz2
uC06+vZ2Nh1v73mTiW01u5L1isrqXzU7fITzmkKpgZY3DeX4wVvAFlVX/nbHq+YLDO+0G+NWPLBx
SIYN+ov9KwQsCk/PduMtmYvt5HeXJLXzE5FcAP2Dqw71HB0QNG2mk1LfJtK/BVVd76Ufda8uJYtf
meZ2FhP0BHBWC7utVRq4wPM0H7+ixA7fQX52R2p3zMBxR7Wb2yreY3chuASSbteOdRdEZn7xp8S7
xTIxbCYzrfZVTKC+njpGrxqUVsL2/m6A+LPxUwzdJP/daRfmJZzsOUzkcw+Z5zshnnxRumYda697
mlvdx9XSeneWqG0DJhHZNtOtQs7ypGolHGAQWBugwjxYJnh9O2+axjWCY/ZKiFiHOzSqY5mZv4jp
95cwS5IzFAquccID502anOrnVoB+h8S9ijKRfMZEy14ggrBCSlr7HNHP/AmkHWjn2DraTz+56lIw
0rxWPJku/ML5OR0CVWFdriNHt2+otmhh2nl4Clj0cAXVvZ/RRt5mjgN9nbNJONbZ4iTm3GT1AZVg
BtDIzZJNCm94mxdKKx/twkxZaKJhxl6nv4Iv54Hq5jVWbpCIElV9uXa3e0zddTBQVbnzIlNwk1PO
qu+dHiQeWB+QAeHVY8QOHGrDn/A0K2BGPMUURWxvI3ewfWd61bq3RXGb5HkKxcJjm+9SBb1qTLiI
Imw3QyZg/TFTbQon/ma5GDK5ldK5MahxotHLo+ky1M9S6cV5qGb/C0NC9DyCHKGh0yquYBnyo0fF
4NNQgpJZjfCgufFCoBukbt6jbugl0qpmI5jbzdIJ1skvkPy3oNCpK+siue1IH9/M1lQAU3ZHzDc5
HFHX5F2bAKF4zsG918GIW3erFbxmfmrogdaU3fsMhu6keZ58YGamFgyhczsNoB+tkQ2wTXcuk+BO
0mNwzeRIW2LBUNxoGGSaaWknBLwHnKN8NrzJv6G7agawxO55o4cD11v6TaMbVenRnTUbNuqMtSzC
kGphvA6QWVoLrjNkXRC8E+ligZH/l8cC0Uda1eq95jT2tiHLCHg7AyVS/WqN8ehlYbrW9CGANqRt
m2q4FL0l9x67j7Wvu08spADoluZBsqQkzBS7WvCXs/pPFe1vf2n+EYtr7p9VM6wC1MPiNMXowQn8
L8fepCnUtCwCou1E7J+KlSgy61HzxndyEenvGkVAU1F9Fk0nojWpVwJp/Sh5SRoJp1mLnMbYOHNM
1TbMW9Ik5kJUTPP+m3FpgU6M00HUA32L+aG25npcm13z7rVqW9GkviO7ejRz01tnWfKrrsdqzQtc
3NGJ0RxQDeuAYAkJNIO4vUmrNBXOWV9vsiazDmXfWC6AfF1tWL2b63AAdtS7fbJz/LG4o7/Rfyds
UL5Pvd4vxNby0yR5eONEuLryqIm38WAUu0oN4pXgS3hwCyu8m4qkf+BfxbaZuwQwqRUfxx4iO1YH
bzMXwIuHTs67yh1YoHnDdIhg8JMlslW4jZQZPU4Y4/vVMOOn4tselo7QeJvROrIjheBuM540m9wi
WclBjN+hacPmqqj7DSLLl1fmXCoUmfN/XGBZQaKy7ES5fEsTo5OeuLlE7rprTeeqKce89WdPe7Ta
wdyzUY04YD29+qYMdLxC1HavjqjKuzismzsvc/qjPhfG3jLs+BzWegPQ0qY/0AtUH3uBqBq1rr12
VNDwDFSiYRjux6HIbvqhxKQY50DlYxtpMp9gIaOENY+dSfiEmzfTXmWYnzarmKeKkjp/HebPsUoH
8gmzQ0EboPHiHa75cJmxIp7nRsU7PW7HU0ns5lx4uOaYHpOzcCauaw3IuG1DL0cI7tOL13rTy7OQ
Q3jLZVreuyi7bFSNaILjy47LwZWxaRoymNAasrtuiKuLi2cyiKmpWLad8ji6wr+HK24e8jrkmS0O
JNawDZa3k0mEjcm6HnJgkdF0GVsXHJcnyMJwVq4hq9+1ywc3cvkIh8uH2YqMmEZvTfvxlo95v3zg
84YQxtCYK5u1H7Ga3NnNv0+H7vdJYS+HRrccH81ykHhNbNITl5jzRqkY0K25HDp4h8rncTmIGtMe
j+VQcfBIs55ey7D3tuYwcawZVf3QQ30/zbrRvTsoPEFFUo8bamNiMlxOx3Q5KMVyZBq5gf0sWw7S
Gr+3theoJMla/T6HdV+iE/vapBDQjFo8TXrl3NL1YofBuBzuCEcgN73KyJxdS1PqUesltrrlYdE1
6RxgkuAxUsrI+xxk6nBe8p62OKwTeaLXHoiJVCBmK1CmuzAGVx40v59rxML5xU4aWUFSdf3WYCHe
rOaWX5H4/eiclqcoXZ9YWHmuer+fsFis0nXZCQciJw9fnRkq9ON67RaLCSXMPQ+AezeeitygKsLX
xkMIeYJahqLAoiPjgCLZ9JB2nakodYztwOh9e12OFSQurjtQFcFeHSxVEYonjP0SV659Q0jde4B8
GBarhtoZ0GON/13P0rwbEbZ+9Tng8KSdkmcA0eoRgtjYBpHeiQOWODA9YaNBwEOz4MblD5jykti6
cTWLtgcNjiODDX6PgSzMEj00nbuCiCvUPFncqK4nwygH0Xyyjn3VEQGX+oFF3bF0Z1uEnrHzuEo+
iYgfHG+GeWg0GSGL4Q4ktI6Ys5ItkSUrs7U7Z66sg3BH+7FIK/eO1JWzTgT7Py5f1ZMElA62T2/y
g6UlqQqKhEgKpVYefQ+GhGPjj2l7ceGnb9x+8EHTJvrn6M/dL6sqJa8xxjccN3zQtsNA2G3lIvnQ
MMrC/2VCxt2Rs+VTTF4lOWKRQHRpPI3Kw37YF+k4HlOBCrUkoQga1G6EzVPT34zRu5vJvTxhPWRv
Xmn5jtBVcoSF3VIpCsHnPp7M7D213BCKMxZvUFCF+owQVN5lp9qNLmzQMlUW7vgjnzoBts1iQdio
onRPpvR582tC0YcLPfheAyCCow94PQFpRqHVMLn2XcKPQe0FvmYX/1AFNh64wLduagiAwPC5klKx
qgXYaNkNJxQML0mL16rN7GM/td3FsdAAIgNJFdo2W1MKOw7CjDN+gJIic4+pdcOOwiVx5h5hIv1g
0/qcxooo71hQ/eaHVXkQjePxacdNsSrTOnpA/p52nDxMl2GmX6mcxVBUFVfDluarXRs0yXS5fBkc
J32BcNZ8Yw7H7Enqb9+r+R2j5tVyc+ohUuhKB8euLqY73KbIuEy+sO26cXQ3mcezgo8V5uGN3oMZ
RkStXB0Hhi0PHh03az3MnCPClrWflUw3RuNMb4nG+1SncuM0DlpHbMQNf+EmsncRbQXDGgors+1c
UnwwjDgWxtj+6ro4pLK71rYuFqszKMjkhEWL3o2u1KoHV+vNp5ghflwn1ai+e+Du6drKWu9c1iWn
DbUz6SNVVajzM8mpVVpkxVaktkT3Z5/hp5JUuxY6tCfSfuHyt/bJR570NiKabI4mpiM+Py0/e58v
LG+PDggDuKbHDzphe6JpxmYmv83cNt6XeE83A9WdmPznkduDxQ6dYpjD6PvmLnH4/wOqFq8FNegJ
vpHJvxR+OWG0tqqtZXTiPa4TY2f2uN1CTwM3X1DeCBZu0oE9lST/V7JqD2nevrGiusxC/1ku8Zve
CI0P1WvilrUlj0f51GaCLhUzVu2DGcFB2w0J3OeUxcrKir1roUomy45nOyAcA7pYM+xo9WpXoHnH
nd65CCvs8a4qGkHWh8CM8Gr2DUdSr4LINuW9FGGBEZS9rRbkkAqeuKPPTy4pR7nOdK9bE6w7Y8ph
eYZlP78D/GteMGHhowsj98IexbzvhkS5gQ0evNz5wtceiU5Yd5ZRDj929hm2M8QgObqLITR2b8nN
2vsmyRiLtPJSIHHZeu0GTZuHAkdTunOTruYUoXXBGVstKJyvCY9AugVIxkIA43e5HnxhBJLFnBrQ
UhkIT8oEqaB3r172Xs0PUxyhcSNr1aWZ/qROdJNlRYmvQ+r3wgnrN95fPLzYrtwOJCdOeVzKVzBj
iOJUMWrOWuM5u6M/joJrpwV8V/jWW6hnzovLNmWt9NY+tGjFR54E8dnNQyrU43QBg+WgD7WWoSKN
DqpJ0dhEIkjvd/E960z3YdLD6d1BG11pXlQcmtkGupJC/xUltIc9lUHwUqQS4yvaF8bBsjKsJfYZ
7yPbKQ55MlECgMbJFtUfH80ulDsIuvNuwna4JR2Y7u2FSAxpYQ7o/J02fWKMe2ZIHUtMRUMT4XY9
vHPyUh7suhu3ESV4m8w04ucmYfLrsWhhdO9qzEaNv4/yHJZ7lUAFTkKC+HwPuEYiLD49Fq3Xup+W
NeIY0eaQFA8RSWZo7xRabfvlgesBG9gZRvZM2bM8Emvtdpi8GMio8t52AlRpgAHhCW9/u5k7WWHn
IaWwYkMhF3OJMNcq1wYoN23GJzCjq4dPf0N/j9vxyeJbqeCDF3xFrwqo4yGETjigNL+x8f0lo9La
xxknRGgVbdAq8toQI+hXM5F6VVk2K8PLUjrJ8AYGgCmGdZQ5wdRl7EiNMLyUiPc0Z386qBNptrD0
+Yo4PDUFGxczw4rcgRtl9YSFGVLQJnfm6YjMVQaMDw9cTtemD6k0M2G4rVwtLC4xBrh1MfQi4LI8
b5LRgSBtJoILqpflp9hzBC9BaByGpjJA3vSQKc22/IlDzOjuQDLOsyZtXWuhIVdWyKq4BI72ZeZV
9kaPVJMTyTTDB1vrfWIwbn7HXQXQckICFpcY8grLTeuaajZN0FEi3wrXKtamzKsTKYmU+58EC8n+
Ya9bSb6z+6Y+l1bZ7lvgrHIs15SJinxFseLMZjA1dnzCrGfFde1OaTgXS9aZm6RAAIjxABg6fmSV
ZqfKdI5ju588Xs+u9N+wSqzZnnkPlA34qMQivRIztw91ludnyn/IivMRPIRDehfRPtX9v5F4/z+C
cBHs9Imp/Xvx9vhRFN3f/ttHIf/7304fbVwk/xS/+/Pr/9Rv3T9oB7Zs5gADJCMS6T/yd8L6Q7gW
rERhI6IS//2L+8f+Y/kaW+c5AVIOuPB/6LfmH6YgfIrua5OtdflP/xf67W8f0V+EDFpVbLYMOrHN
f9ZtS7OLjA7FcVeErJs08O2kt3R7JkCV9DfSzkBC+yGMhZWhDTHwldbONqxq69M09uEBQkS9Bbbs
3LjlGAcgn0WQx924z1kFbTQVsqmWWmQQ83IocmOgYo0bEoCrKzUdCpITq5wdyMu4TAWCy9ymrfV4
zxqpvjU6M3uJqIfDFVNhkFvmiqHLs5Mf+f6hnAce1sv8UZRxc0R2sFdI1MkH4C+CTHBBkiD8Pb60
yyTjLTNNtkw3/dTjS/498gzL9FP9HoQEMenz3EV4E3AdqO/o99CEhGU+qWWSUlMN27SuewhdtJif
pTlq29Crwt3EGAZ7EtyXR18IBBI8ttXC112HJuzxapniciejCGmZ7Oq0l8HYlvMbG1Zq9GZl7Y1l
FsxEPD11GQ6yUxu1WFT9v0+PXaEvy6XCuZSNTWOAmRN0g+hwcrABftqYPZAHpBZ4oMTW6e9ZdZla
q7TMXtAD5EuU+N1eX6Zbwegs1rpDrDJZpuB5yUhRUJs0vzrQLEerw3m8Y1zMdLgZuGMHrWdbbVIY
+KRphRgvsy1Q1ucu939Q7wDZYNJanu1ac3KxVH5oMskcTrLeX2uFUptEz/WAvgn+lkTG8Fg6q1Eb
vBUavGbLpB7SNYI5d2kXWf4kaWtc1FHSmQ9olsVPPfBbCMzGkldSkhz3ng/U5RkRDaRt0YMJB9FN
no8uh4LFo5150e2CBT34RR3fOSYjmCGbBYsuqwF2k9ZUGBW6eLoLwbqtWnQ28jI1F9KGb/GDtlUs
JI6GCaycapqohKZG5g6sqyEuKRMOYtEcYspYtkVshD+TdPmeWmxO+EaM2EeD5a0Sb8KhNh+E24Yf
BBKpHGfVxj8ogkH/SrD9xv7kM7DWRnkOE9UGOuLRveOhZSUIPRQvSCPZ0ueVrk18IQ+JnUc/lp6Z
95nSbLGgj2fSTAyg/ioXXn5y3aa2jsjp3jclpfaw9kFehc8tO8SRh28Zqa1i78HMbjvuuXZdRasq
7+Jmz82U8Tkz66tpxdbWLuHVuBafj5gKRzDM7fBlF7glNhql2h14VY8FQuaEjAkqte29n3hYyCqW
T0t52mx9CoOAFW8eFfP0LuPh0vpQ1oLWS7TvXjPmRyz7/rxOskhzcQ8kUISgDkdBQ0vy3mxzbsJE
1dh62PidgM4YzvgZdm5brWVnsM+sbDd8bBBw2Cf7PjmfFnLVBt1zuljEAH/CNh9uXcean4Dp58NO
9ZMetLxi/q7wPBqh9No0EMNBvBBCqTocbh4NzyZ+WVxUXDYn7u6a1fKMZe+qsY2p6ajdCC68tx5K
w7mz3OK+rIRdrvPKi969emgfejMa4A8nLAq2pIP8XwRtyl8qrNVrFNHMDM4LrPyzP6T6A2oqOdpi
mod1idxW4uvG3lL546oMa2jx7f8g77x6JDfSLv2HlgJd0NwssMn0mZXlukz3DVHVVU1vgj746/dh
qSW1euaTRnux2A8LDAZjVC4zGfGac57TgkfSK4fIkmKW7qmrG+thLszpJMeEA3cyOprwHo7CGWD+
CMU4DKGWdVXdGbscGNeF6Zd3rxpDnvsxB0KT1V7DPzs0S8Ag1XWQxr3xUFjN+GUqopGcRV2Jm8gl
wHOVDKN7W0yWS8zY7EBEnsfz0Gg2YsPYZTyXGuERrAgSFj0a0S8kyZaYROuAkzFCNWl03dbV0vxO
kPtBSmrIOznXcfPOgCEhDscd5hcNTRGLFZSJJnbiSpB6NE1nHExREKkQUQ9b+zPG3eGz2Ubpljk6
sgHOv93gF9VyOngxMVchJCnc5CU7Iqu+zJ6DJnr2pfluAepnkc2Di5yHUarukakoe6/9Gs4ewKe5
NLfDKLXj7M39e8FUaFsZ7XDfkJ1G3octwOswFjqCfM5ezITVCtWqGV1HGL+YZ+ZNspUC4k7UOBYZ
vSB6VwRL9Cd3NIzTULCO8DW9R1afJjtlV4C+Nb7mkBhRdiamZbpJIfPvSGBMj63jSV7NTj6EY9kE
BCiYQVSqcJ9NVXs3ioYtjRe6n9rUX8LkRmYFBbmjQO+Tk4dTiL1hiedWIyVpxs2NNcxxzz4n8uv/
3e39oi3/HcPKWvm71nyhmv7pv2w+Vuq3RMGou/cWhuNvFc3yT/6n/+d3+fXfqbl1AifBF/xVefe/
mr78r5fzv3+DX+s73/2F78e2H4yBi+LY+b2+8+1fWBGxFwdvIIDkL/yN3/gK3i8mWAKsMgZf4Voe
1ddvfAXnF8g2UIo9izrPAuj/j+q7n6CrS+npA12F+0qlSb8Dw/VP+3l6y1olZjwcYCdGKTbXNrt2
W9F3RHb0HaAuspXSPQFENXE+9WLWSUiekigYiZTXPJuYMwML3xyXAq6CnlHpDFPCv7eED39mXegz
svS4VTZaAUNmJjJgW4rG1DfNqFvRpRKiWCBbqv6MnHuRRhoJreJcGhHBxhGm643JX/DYjpG9NToa
P8JSho2uRrNZaAmv9UzK5SaUNqMqjZEFzkEz8mjYR3+89UlKT/ZT1QxzYGLZNvdyQjaIknKwsMCW
A5txEyrfysaAzlOMKI2YBMtGPDQRzoSE3bVhweF+pguUbbKyvEL/Fid6NW9Am/nd2rY1+45MOjvf
+Zhmn6WNmhKPaqi+Wo7W3RDiERIeSLJB4KU13ZXV2MNLnLbTAVhNAV+hdpLP4A9abCtos/Ab6ToL
ImdRn5ofqkIytkob/56XliauZ8RbnzoKomdjJP9mhVMMQ7WpV8ne9NyeKd7ckAltq7QQm7qF+WVS
IV+RrqOdrAKjjZztZL5YSdEb9ybTPMR7tpLRlsRgy38aulIeFMgWA6e8Tus4ox+VOzUZpD+tgPxz
Zsm2FfDEltcl28jZAkeb5m6MmwsAwpJo0DCHY7b+bLYY7lvFuhcZ8qHvyAzrGCoSjtjZJ0AxTD0y
D4OlMU2wEAoC4oxrCuxoWEbIDHVGEIHAsHEF9zASu0T/xn5MAXBjLTm2JrcelH4CYfAcNNIwt2Hf
AolT4UyuKVZyZMiC7andbYGLKeJ4EcGisnJGe235vXs/+NNhrDWjDlwt9I/4xEHGpuF9m3rRxcqH
J5PTOsic8tzw+SCVTLwZRbEsSA/jFJU7jfJyJ1rfDLC7Jhtr7sqryLQIkeVjc1dYtXZwpiHjIkNe
n0vI+wXKzJVf1cfekWSOIeFzwGeg38D5Z+jtlWfDbCSgQp7zeHR5V+34zR7afAcWpHhKsH9fBisD
trikpEV+peD7xURFwle4zrza3RCyWN25jV1dmnJCu5eJeTPTO6SrKdbJ3c6n+6yr5Up1WXTA5ckV
6LrNsXZiih+/Yok3kdQLr/e1MlLrXrKlAqkZDQFKvHDrhPhqbfgRK4O962og+jIxuv5KwnNlpB/r
cpMq0X/K4/pmqJvdgNpuXNHhwbdD53gdxgg2Gdt0TSASay0KOiJh7gbZcMUPd7Zu5CsIGvdord/7
PrnJRoNUudCA2tB1HUrpliiqjqcs8piDx4vcTk5Z+cwhW3MYWZ/sgc+/KkDukuybG/HOYAJCxs2s
vzMc5JNeLWNIl4RgdD1EVqFDarDaumV36ouYKOdR452vGdNo+O018jQWdQkr5SgUDYOtXKO17Nzt
rKoW0z6ONYKdSLwyK1Thros8RYn5GXohQZZpOANRtOXOgp135TGMwseijfcZYmWnC9NjLgoXQUI+
sINEhePZE5NBaypvG3ICNyTBRBhBi/kyd9A516rA3EB3QQE6aEO/dlLT0gNiRSMGjyhdV3poqkcW
TdUixR8vVMH1xsncbOPHYgmobb7V0rLWoFAki9vQ2sbG6G86w0YMnw3FDYl8zirqWsg1rNFfq7os
t4Q3avzxoyiZbenA0QamVXwSOAk7hLYboaT3NFIGgTcexmT1w7X6b2QUxgKM+wH+4yEbQ1mIqG0Z
cRA3/tMQQktJ2hlV5R4Y7ZvUxV2EO9XCbANOgXZGDBMqRTRu6Cl7q95mih3hiNpgCv7mF/lZxsZv
4joLg8h3FhSR5f2EtoPEJacCT8BBEZeSDm33GpMROd/Wg+231x5OdIdUpcy1NkAUxrtBVQ0sWS/t
jI0aiFFlw/84TqbggMXxDqKCCAaDnYIo5IsjZtde260mnmRn5je+H5ZXM/moz57UZj7Py0nOGNN4
dcuJyC/Ti+UTz422nbrOujeHUfvaxMiTsx4msKtbvUuibpQ8dwlK/0wb7CtfT/g0eYP+5AEc3sTQ
G29l5aQe4bq2j85Dz042Fom1pSrrzOUYXY8VDnvQwt0dVlh10qbJuurzyKR9IzqYLvPZtCr9FmXG
kRIXzPJy27nLvQe8gytwmDoM45qWmfGGuxrL9cd9GX3cna4w9W/1x41q2tJ9cz3Hu2FHTy53NBtP
DkHokuGqLjk3p4nBCCwncx1FXoK6K58e/NiKCQHJEQIGRsPiNPC92ko2UynHMUiGTH0VJDttPH3w
rlOqehr+roIsP8GJ6lrJWslyeTiWY8h5SUitw9nlewctNB9ozPpDDZOa/RYvfDYr0odTOLQrLSmj
L0za8YZ5Uww/VfbiysmZOXhRNrOMn7p4A6CluCc03F+lDKa+WgUgBC92B2ysyKWbmobFlA2X23KV
gnOytFeAnz0hqykLmTQunVfI1tbFJL7oohjkf2bwJVXAIWCWq9oHv3nviDb7DEGlfhHurPdMJTBG
PIFk4EUCFi0u3TyN8W60HYooKrD6GUusU75pxJImm1j00TdMSJW8+evHBEr+zw8so0KCPkzBUNqG
WfgTUq4vSRW04qk/JEIYV7U2RedqRGDXNvhNy0L3DtJrCiZgfRWi2aquSXUPz/G0LH01Z5yOThdJ
juEZz5WHjG+JmMjGu8aXVbm2uWCfm2JgNxYllry3R4kt20wJcFaIOR13uiZ56HrMx3YhcxjD2QAt
2FGJTuHXUoPU4CS1c2BJkt2SazBRCzrpER3sfW3F16UZ3gA7Ns5RGLFAtEh21KN7nnHroiMclwmX
naPZSJ5cMm1pR8Xco8iSnrOPEymYtjmdMVIs6vuhdvMbB4T9jVUZsLormK2fDBx8gLZT0OJTDxm3
siq0bcQNtRcOF3njAeLatnDGujXZhNoIawhV4kZMOaFdUgcl2xsIPYICxcCb27fQ8DOvv+5z0d2Y
ZGQ9zmQ8rSsLjowt5hyayUTcm5G74eeYcvTzJBRevLGoyGTrEMMkBStWVuG2S7GbdtvUVYA+PMEj
Z+Nf5u9rGHwsotA3FIF+FOS9Hu76ygHeN7U+4r7YbIoSVRPp6ngSwttwYHtTGHa469yIPW1YancT
A08A2ngo8cwNxzwl6g1GunHhTpr5VHrjJSce5JSh1IWawSKKb9cFhuaVd1BViHmvwEM96CrkCYgs
D45nF8ulBYi3Tt+HAfGrw1a5svuMFSz5pMWt+SixUO9DfdbJtxkkR9M0prdz2zFOKmzrBLMxDGyM
3ZuKInUzRrF748ZG+lCCguAUjRlfMFEM7WNi6YgdCmhNZzIa9B0WUGZrYCOsc11U94Qr1NshR1jr
fNxEMwzRW0drCCedp7wImkYnJzq1ys5jnhOiHKqX7sP4aEQM0MpzEH40KPrSqzSUA3MQ1UsLw7iK
dgbPa0r8bmm+Gh/tjk/jY360QC3EPoxUo/uYf7RIJdoJEmWTkWlnwumNgNbJ6s8Md/JkTxqIEV3m
ujbghnKPvdn9ODUbC14ekLylTUurgc6kbib+vbQ6y7lKxr45NES6bMZRGAdpyk6uBwkxEhDADDW6
89Ms3aeegyRGzb0Ua/aZ1cnqrTCB3LQUA9NSF2TCeJZeLYimiD4BbHomZ5sHxExpKQjekOE8H6bB
d7e1gfOU37rdClr00xTTW7RaJfZ1ptqXvz6o/owdpel1IR1aHFK27liGZdOT/yhK1ynpMkQp7oFg
6UvkX8usOdfD7ccP+UeG+P8sgOZTVfCvnzNq/l+cjjgc6z+81P+SP3N6b15y3oz3j4nNh9X91y/5
vuxyf7F8TM4YAqA0UZdhNv8VNonVnQEJk1ZcB8ssxOUt+z4MMcxfXN3DwGAzCHFhTf4xDGFMYgvd
WKzufK8FVflPhiGm81O9absQSgFd6mQ0Yby3nEXV+4NZwe+B7mUZ7QbL3o0TVtBsOPAwLqLX6c9l
mgPG0nuTUfhc7fUC1DALqYwkq8Kv2TZr3ZM9MqVelagTnp0aXWqg62V1yBeCEDm/meciee7KLXIq
71qPO8c7DI4zJudGyOqrPYv+1JYIao697vRN0FdJP2wjEhWTgEgBJ4NlAalq1SY1GQgpn+51XOTR
G1pyUbDk9hxr7VlpM6663OKYVAONNUTtzOUETTlLsBRPZzHr4WluZdMjKtedJzmP5lPoQqdvY228
rhAexathhkzllHp0HAzPAZiUxfDvPHxIR9MAbNOWYwnaUdPRZQ4knw5Hk4UKodLs5bSjo2LzXi9H
QmQyHvocGwOhf8xzDCyZo9BdbvOM7ITr2MXWvBExxOglqhT5VItklFH9ALPibDp21+JyY9UewJ7E
G4nqYwKf7kaNHiRpQSwfQKSz2Wt0THqimnNFArjAOgH6O3DgnpK0O6bqfpzRKCM6M4nn6Lopp5lM
OhTBI0NZ5PoMMr5m6DrqgzL6vFqrNuMH2OirnvWkTa8z5gN73hn7k+6lAzi6UF1CarwbE8YhIzE/
baZN2+rVg2lZTFzntJjCnRPBjOFU1SNsZM0EYyBzbzOpO1/1yaNa7Z1e4Hch2YbhDjOrYjWmTr7p
RWs+yT7pn7xI2Eis8WV6gafjkl6uLXlKix6DQ1xInG2eRPzFiB+6t035qRZy24TngZ+wFp0+FJu+
t6w7vJPVXkQyuW0LmxZxgHf41dBjNJIyNpUbkMw9XpCXx2xRrXwdsfIj0DZm2xPOAuE8l/vESxDO
/sEetFStpUjMcI0afAm+NZwv0mVXuCoYhWbBSEb4hIbUru3tiJBZ7NWkwclWPaqWNeHb87DuB0zH
EmsOEcCW0x5bCudsbdcAyVZcGExu9LrpvznGPNlrvgXxyonOhCrAC0nhxN3Vb0HCemwCrDK8LYYJ
4VatsnGbTfxhqzH2MXuD2aoZ+ZgAZxhSZG99Aqnr4BWaHpSh6Ju1k5Peh8PGjj0wLlZXcKsn3rp1
e8QqqyEvTM1ctXaTPtazf8ldQr3hUoywHyFu1iedDRIfR2efKyxLe73V08fSHPWdXap54yb2fI78
Nj+peDC3cjJDyY5rdMcrBQnWuDWapHpsRnSEIMD2huAaDnwL4d/RJjL1PorTDRFwkHQIiGlnVOV8
UiQQrCu6+AQDLml4Iz/AiolICbWkfrUwfZ/NARVugKEZ6pxGqot6pM/GNigVSyYwAWpysu0AaZoe
FdMnktgizZLXUJPx3UgN/5rlo0RxyAYiPowIwObrJMsNRQ+V+j3R2DXy6NGLJizkyPct7+D40LWu
rahX85VG5s9jpzqXHGmLvm3bA2CDmiZis8dE2SmO+VXYxp62OIZQeCIaeCG34QRCNGUznK2JSJAr
nScpqEWPVEsI/trV/xC1r/S+7vEpFFNNYvrQ7YwaXsA/v7f//Y3847rif/5nV/t/I1kL2ZJLP/df
y1pu+rf+a/zeNOrHC/77l/16wXuoT5alBss3gUbjY6fx/YLHjYgghffq+w3/x7bDQAJjm+wh2No6
vmcu5dj3bYcB5sb0DOETfWkiQvH/kZrlZ5SN47CCAd3kMlrW+Y8/jZP++PxonvgcosltPaCtoMld
PIOwamEFI9Dz3TMYq68/vFL/ZpT1sw3y5x/9U2VhEuycZfrStNnIU6O4hUScgp/KwtdREnP21z/N
XP6SHwZnNjBvF4shNa7OaofNzp8LmTQcUqfjCNoOZGOxsgy7wEcWsp48M9uqFvEl+VY73mm5yfMe
aIM7cAXUMCkGp39eIs1X9hw9ovq94UG+ImAssOg0V50ePskF8ZNJ/MxJlZ4MBGubv/7tjX/z61PS
YUAgBlCAqLeXN/KHOoy+snUdug3S4bpq7zJART/eadxVGOVRD83E3tUKFS7j0huqtuTehrBoTlJf
D9jrVnovn7PZiYLU08kvL8+xZe/MKnuNXCLb0WsdOokaZxr5Z82Cs6lclsHRiAO1guoReEoeImnq
nzQSyYk5yRsIK/laDdHKnW9VpbMqTzaDiO9ske4jNb62yFuyMd4MfbGeQvBrUZLdoqu5q3N1b8s3
tWh0kLd/YTc272AwqDVMAPeqguOLHQyWC5ktC92LIUHbLu4bjz9mQmFpN4a1w8oVfXIy/bbUcobM
Pj/ZkkN+RgyhXtKiw+aNKRRra9ecTGynK1uWuos3z2/WttEnpFW5kBk51ve6m8H7dnGN4230jzaS
obPnkSdt+2l7Mw6hzTa5LY8da/8vlm66rJ4TBjWiRU7o18xGSsf5MmWhvxFjbL7WYh7ecQboFIqn
0YzHy6jPGG51r223YMaqrXDM+ViSD8WVOVMJlcaW0MX6LUnStySqnAPIGkKqTDmSvLxkRtVgElR8
DIGYsdQ/Stt/iAbHBFciA9GqZm+A5wnqlE5zLEJ4oUUrr5hGwdyuPrmAf/8mh2PB6f/pcfLwvtg8
wsTX0mS45tJP/vB5JOzNkHWnSKPMc+btCc6PMqhlF2dB6UU1cwFhfQJXMp3nuNe+xBDv5Kr2GE/B
La6AQVsPkwn8Zgipxvvee59KT91bmZ7v4IkshD4i02Mgjk+INfsrdwr1bx/P1D9qRv//vNSgNPxw
/PxLx3rTl+nL658vtI8v+V2eicSSiwtnu2c4dFS/d6wWHSs3En0sEklMgxzpv9nrzV+EYbiu73p0
k87ycflte+9zC4Jl4wtZKKAL+Efbe5Jbf/pgcp869MuL959pBlXcnz+YURSRo1ea5a7vBxbIRta/
lImDd9nDcsm2qj2NUlfrXLOrE8vumL1YGR2aCTsGfSQIHxJTHr1SiTe/wUNMJBC0dUOn4B7T6aRl
ZbyZ2U2vGiHCI8RVkCjT/OL09k2F78zqTbVypuIEA2YJEaW7dauwh12UXPCFN8EwJ49mZb+Fdg8y
A2tN1tZyZ2Imm1cI16atrLl7lYnELUld4yEXCYo4uNL50Zrt8orRz3xdGm7xtc84dBFSOq+LWmHP
zxuvKQe1rWlrEc+aY0ePpj6gpdeGOrBpNNaNH2ZfyCOgmZn5qWFhRfD48Ru8DTrx1wQ1RE920Y4H
rawsJk/IUGVZ3KJUrF4yFXfH1FAF0nBvuu4xQCPYFJO1atvKmBZYUX8Ts5rYa6yHT1U09neqaAVN
T4kFEY+mSYZWsYqaabpPUnQObWyPKzMcqh2CyRsTOPkD5LboXeZJ85ywkr4tdDrRCgYfaCxpBUzH
601Bit79ANAVSZV6BNYkb2Kc6BwdUhyYofcnolgTwCle+TiGk75LgEHgN4IZzEcjaGgOXyjlkwtg
MmzpuGQMf1WN7nDPaV9c3Dp+D+0Q1miSUQ2xlH52EhUi6Ff1V2dGyZgqb8bhMz3FZr3PYnHsEd9u
ktowbgfkoJvES7ObFEvws+1M9dlQNYv9olkUUHP+Zmc69oKsAYPSprG4qNLSLuVcL1e07YuvlPdy
B4yvOLRTDNA0bsYjxr4Q3lMp95zkRdCRU3RAPmleSeW+h83JMJ9x/uqbZSx032okWOSibdfwNF0U
pkRPbuZIYZAogJECNWBhfwMLN7v48UzujjarB3POjWsgQCyd7Uo+0VipS65A+0b6oJ8VepB1JAvI
U+4wrqHE0Gihf8VzxEy0WsVV3e71mOQ7PE8dExDnG5AosF09A2XmpP7W6ZBXxpU5HTpumYvjuw8R
sOi1nwmUCKATttxh7iefzdwWQ2f+4sQawLIWJjWOOC1kTBEZm7RhAixJw9jOpaYFk+qrQFO6XDsY
XslYTSgjcadcFU6lgKf17i5P9eJQgJArp2ZXWCxPXCh8V6EX2muReoHoHBDPU72bEVjUBbDkNAzU
oNgKmBVQdLUzbCJmUUl47FP17BYTEYFqGv7+DNSaTZIhbjL2nwTwlScAXt7nDGkj2xi9HG4JMB3v
nLL+bDvFazlHmNfbMyOTr7C0nZs5zLx9DVh12xhFyOGzfEdM0hYZfOBy6/lubO07z0gU3q2mW1Nk
qvvIZ7hkjUQigLWVUH6LN0ugbEhmeOgdFF2jd7Q7hvg9vlJ0vDqDqR3iF/0aY04XVKo0CFCJumPF
NGjTd7X73gEH2DoVwL+mt3iYKKM3IVlM9wBWeFUn2+Tw8KegHQYZVKLCNzPn5cZjAE9w2lxPTxEu
UWjwabzJMyocCvGKMBotCdxsaHdDlaoD4kWGEQZ13KFln7kDizjfeNEstpGLxD20IhdEmSKADFrI
SmUiRhRR+ijpF0yXL/ONFroQUlRP1doLD8CjY8FMN5aRXlYRTdDoRlDoHTzbrAqfVMmaeKiy+tz5
I3Z0OZXEyI3ePsYm98ryvjtRqaE+8DP9joec8V4SQw+jHHQgOZqj9eD8av9ZnEDZhykItr53aSHE
e2yL8Y2nQ4oLL3Sit8kvHqxRQqJWCRIYQ614IYgurdw1F4Z4Hkrttm/Hi0r4y3EVklBawpZanEvI
MdPnZrEzFbmH3lQhC60qttBhk/uQ2HDzbKwmhqK2OKLcTglQjbikulLoNy08ykwnpjuOUJHj3WYR
4577VOCttDCgZZZ9SmecpuTD3ZfzMJ3EhwFLALa7j0mHXhf9+JZ5VrYfwXuvAZJdxWVyi+/LXmcp
SRqzNxA03cLhhGM+75C+1ztLcIKLxQE2hZbc9CjH3v2ou40H9yF16g6gNN8gMLJaPdeg5MBchUUq
9oMTAlVY7GY6snHMds0OGxu69MWQBita3OlOPpz47gELZKiV0ecu49TPk0+W5V7MItoAdRwDxrvF
pkVssUK6rQXxYoBrFivcxDz0gLJTBiF/+ZNYLHMtSpN1IslH4JbYAyar7yM0+Dsl+1AExofhrli8
d9PiwpOLH4/dfn2qkFu9F76tsW2blmsQaXK+OPhaGnagiq1/1zrIZ4qp3zh6/wzC7xKmxQJQmC9G
EdHGQDeOeFICrLW4Bn2ZVAj8Uw5VhnFHJjzRarTaszWpoKAUXiyWaLlTa1fhQGwMQ191MrVI1sOK
sTbm7sCWGO2hV5Pl5LEszdN3o1UkMjtlxquYt2Zzb0UjWbHeO5Kl8RvhdOEFMZCHjUSYJ7JPcEey
hcIpyRi/e0HX2Lyns+6tQT7nN8aHxVKR8Mn1lg4zATuYMbMPX6avMgwCY57IW+Zl3VrVormC6B4z
UC0IGklMpT9y9KRrWUPmaGWJr9lU405fTKGzR057PzZpoIzYudcYcx8K5PEF42AVxmsrbj/VscYl
Lb1rTxPE+CA2flQJy7+6okSJ9Po9r6fpU01qMGQQFxigjRxsZVmFf4tC7HFyh5sKldimLOMLLg02
oV7NJq9/Jh3zAb5hi2Iws26ZqwAvX5yyXHtY1D7ssyj03Od08dRWlBWQor8SPrJDVLOf2+TUJe5+
7MYeg96iLJrtAqPOgm/bRKgk8zbdVCD4WY0DIBD9jdL0u0yPv3KhPY7N8NaSKSOnUVzqxf8ToRIL
oKby2VWzwb1LFRbGG1E67jp1ZnVVt7YehEyk0Z3Y8hKKeJuLMIqh5pHu5cd2fwE5PyM8ldiPiGqu
16nQrU8cv95ZfWibse/aG0r4Ev4iVacdX/QqS5CrYGVNFmm0BIJ0SxWn7qs0n7fgusUNugAq4fQN
Ny33zWT3p543mkSV/spJW4iwMRDJVpAgzigeHwZj52NoJt3asHB3WrhfgqrRXlLl1HslsdEBqeWK
DiXYbzwbK9k607qaY3Fux9C4ofyWR88dzD12k4idZ3oqtEl+xlfiPg4h5x/6phhhl2Lt73add4es
oL72Q8PYjWn14uUgF4TfLLvqIlxNrnOQGmjNVnbP0mle5FCJdWJCd1SF3Dldlh5D3dCeRFJ4zyWB
yJtExtpDaTdr1AN08FgP4A/w0r1PaFzwfhpwY5WKApi4gJz8ommPDv7AfSfJuOgHZ2+NncOLWkTn
MNJqdD5cUhEJI1ZX9k913MmzwPLxGR2HAalUkurbOFLj4LHiwCRTgzQo2fDZScIgVkUYjJGPNd3N
4NEJW+zqoQ8fiGiWt3pkemsZy/DOamqwDkReHqjBxrvKzMsnxEttYBWjvdKEUHemVhBzn3T5W4U4
a4flv/zm13VILgSRTp6kgq4xrZ9xuc3EDWll8YLDIz6LYU4FGkDPPFW6Su6jiCoPAYpMHluskRy1
5GJg9o0uRk4iUmQV+sVwGTj1+OLJF2vbQ7gwX9hjRV9KKCSr0ATxNGpj8WbL3r9obLwflWFoq75D
S+FYPdZzUhDvMpnm9xVKsOPoeTD8UyMZeOlNrMd0AhuemDRo2+VyLePbNrVJsRAxBVvbPuLot/da
O40XYoXCwBllebHbrj0VunA38DXfR5hJH74KZ1vmasnCRcXCHMwD+9BYp6gsrLsRY9Rm6gx5itrU
of50WM50QnyhZZX4kCL/ve5Cc40nZTrECpawEyXJBRtTArKsoyC3S3msAJBza9iEyJTSMzDV3mTa
WG76iMrcS4gxSjSD0GXTTy/m3FwXemziWxbtanC7ghCrjPFhDRu8Y4x5FmOTfeMPJRPChzGF442h
G/HTBHDk6psI568dyNOVp7OHqtk7rI1mwiDtG0AmB8wZqNPDUxhHlyEjHEka/tWyCFpDxx3gGonk
KVkWVuMME58YvwCdu3tV90RJiTndlnpB3IfZjqelyQd6Wb7LEZc3O91T1fkKBjYRnjV4/sc4NjVr
5YLIWcc8c6ghEZFigCnXfd8YZ5sSLJCmWT5EFPAhvdzwGOnCWWlSv09VFGLJ2cLN3BmZzI4A1W7T
0Vm70cjhoijJdX2LI1IBrJnltougS7OpuU7t9pWPJ6jpqUgvfTXMa6Gado0gw6XnduxdMzOEXREq
UgfC4oOaw1XBC++gDYo/z4SjR5yfG1jp+lIbJNtKatpmqDVzQ58X7r20yNcZnJDboc6TNfwguR9a
f8bblRZ7bor0aAx1yey18K77Wdm7dnYlzOPoanAt9klUo4TDYpEbVznTs3WcETa0NqoQHs3sm0+Y
1YLJ9gJb5stGrcqjoKq1LKDw3cfVOfM81uzRMJ6Z5bGE87RpuG9FWn4uQqBpiCSNEP5cuchxocuh
EI4laYb6kN4WjYHEyBZFh7XfJqbMW7A/lJliuFRFVl7SLjVAc5TNpdZy2lzQWKiIM4hrMz79CJ2R
/9xbc/hoGtjy5UDfsuoSRX9alAC2yiYzdsAIup1bR84dkursCN+2PwhViTtrsu0dSuzmq9MAC10v
kJ3PVeV3X6cCVHOL4GY1DxyevDT+KZRGRSbs4O3ZtCpiSOwM9kYLQdRs7Gd66fFxwC5/34FCv2Su
CfzJKKt5hbTq2uI9vcW1yC8ze91jZI7vdZ6a+AJn0C06qnlcl8mxn9Co2dYSze4sOq621Ixrbltj
UxDpS8sRFyultLOW4rbNiOvawnIhvtyQ2irPl9W8CR2cMh2F0wWGrXvv5pO28Qu0twxJiitW0Buz
mb1AjwiWqYco2TtqyI5+YzWB31WfWCy+NDU4KkV2STombxkBiAdXopUcGivABgwuH6liS/Pj8Qxj
ilZXva++YLbVjgkJnf8HIpz/YO7532hNh5NIuH810bxPYLoVP040v3/J9xWd94tvkh2BpRN5teMt
SptfV3REwWJeckyd2aXx8b//YUcy8I6whcNVLpbF3h8DTfcXFJ+0+pZrMyNdFn6/mbO+b8X+Che6
6H9+GLSj7bGJuxDYsRmqYucT7CN/HLSHpAOgKzHNvT0QiTA3YxZEVXJl45g+uhOOiFjO9dpe8DmA
e6aHZMyiI+AIfyX1Ll4b/qL8NAePmralw6PjvyvRV+ATqcFOulP8N4u2Zb76x57tX3/fZQ/3w2JA
aOAsE08ZGF7zca9sRn41SRYIZ0KqRmBazIP0K79AOfnDW/r9lfuRMAgg4G9+9E8bRSaeRU2FpPZJ
hBp/nroU6Ir0tnh7q03aa9V69rErIBpl6mmK6wkFCpeVX6xhxrAZo6nZq7lENUjVQkSqZHjbxNeM
mllD1bx6jjVd51YYXYVdrwBbVcAdm1Lft1iPayzqTZ48ZIhtuGykxsqmpo99hoamIKHIUd5UpMvu
Yhjh9wO3xDlrXY9DZ0o2eW0Wx8LXq//N3nksx41safhVbsweE/AJLGYxBaBQRSdSoiS2NghREuG9
x9PPl6VryKKGjDvrWXS3FGoRLvPkMb+5tpCQv+5g7P+VjDPZNQazV6lW6MEKxXXfNUOgVj/WKVER
6I5DZciwdXUT2nOzpn4253o5iqmaQwzvQBQscQqIdfyRdW6PQ1Stjw+gSNQwqZRsz8BGinu2cKkT
qw7xUP2MX9KHcZ3v2qzpjv3sz4XygFOvezkUGZ6smfsVt1QF0cPmsltN1V8TW7/Ktvi6LBFXbmjl
+M6aYfs+pqExI0g6OeL7UHI+U2JUO1KfC/I0ZadP64dFTaw93n9DAIgWGyQU4C4awFkwlsi1oiK9
qWFJ7xewkV1c3xfo1CFzREeya/yJ+klXODOz9sLWInRWQcfvmesufgP4c59ih4TKs2MG+gyzh3Mr
x4VArQMeDGXqtBmOQHnVb3PcoTQWg5+VfNyV5lB6N4+uccGuwT9lvIxWuHp4KNKVTJb7BZbJHXD5
Afc5U1qSjQDR5obWp3KvVcscoJPv0urnmyR1nXxwx9gIcM4trqjbGNxmWtA7dnR0KlsNhzSJjibg
Hs/RIcJDPWi8LEVm3x2b1J8WeNkURHB240Cpp8mbkvK4GZ2BZkRaBOnAal5Ayu8BRtfozLkUw/m4
XgLdVaX5VxoCdHo0RXU/5ANyOjp2gpzxLpQ0VXX93h7BBhW8S2s2LeyepoNtwC/LWwOhPaFj+6U7
QKVHdGncaAcC2ToA0BNSiji0rS9V1dNLN7CExLeFmqcYM7gBioMcY8aMtqXgE04WtlQpCASrl0oM
+Rc0++yjZ4cqQzOIy7Vu8k/4xij+KgT1iflJdgn93FkUr1wTFfJGdmM7i75DNQOXrxoFhiFTF39V
9FCZuxC+hxIA6P846vRnaffQqM2Pbel8TB0QZ+263A9LeolvlIf44c3Uag0lOuafYgoW0OFF+0G0
Gl7E6vgxSRrns46U+h7YZVCpIyrkqOeCV7uG9A/VqLrvlS7QF3ffJuUP6MTBwIjAR+l/IsPtE4+G
6g18IQhW6EykWXuXksUqnfZhEdhTRZVOXxrWBRpYq9jHkV1Bgzfq/lEDA8J7r9RPS7/ue+baH5Ve
jfdRCrGzwqHrB5z5ZadWHUrwSI+735Mi5fc8Fn7dSO8hm2euHkNU0HxtU+zpYQFNT8bCW1qjOnRN
Wh31HPOBZuwl3ju37pxIp3Ux5dt1BqHxUChxIiUtcLI1ke9nbOsR/ebLVZ3H+84FULYNdMIM5PLC
OdFobRaCtjR+ReoVDCD16LZj97GNyvF2hnV0SGt0g1HP4X/M6oSZFyXvUHTqld1GH5p1veh0Yw0s
O79fMXK9yPF/YQmaX8BKJfjbiNxDrAxqmg6QQtGb7kZHutlTHXpFg1kgfdQBUMhyAApu36fHWKbA
mYI4rkJhFgiVvoxb99ZDSQYloo14ByOi3JzsUM1oDcIi3g4A1lDA0uon3MQPKtpnoYX0jKdQMB16
N/3LoDMfmGl0h3whbfUkgltEpQnVLJlwmsy0Y9lk1Q012se3zzE5OT87QJmi6pZGpgcgR5zxqjTF
TDQl77VD7dZ3dVraaBciJpMm1uXbFzrjkp2O6hdXOkst8mGpElWPjcMUj+jkRy5ORf20oyzCRzW3
H22dpsViAebHWzbyGzHX/tu3YLyEEfy+BdBPpgFDxlCZDr/MFpy6mjHQQ9CCaCUaTzV1BVhND51B
So2ijUvLqtXyT8PWDIe8wvcEM1CcbiaKbTWL2kt3HoBG9DVTuqy7A2/i4sbcEeWRM65u4AIhEaCp
uHZiantIo6E66MvSBx3dPx/H4Yuuhb5HKfNEB07ZKUA8vLIr77gPJYgxkXj7ef/0bZ8/7hmKBw31
AsyNpR0Uq48+Iu5ieCullU+7c/PevtRLeNXf36xQ4cjyL0Qq5Z8/y8O0mTbWAO4Tdph4GgSik6tl
fjOAd/md1Ty8fTFDLpXzRWs/uxrp+POrKSm1+4J++QGZVVSnLeOrUSbjMZvjn1pKhdna+XA7JkVy
4Qz6dhgUqViSNxYCbfFw7WbjIeNL+j3bsLDbZZ/143BBhx7xiAX8UIrRA020WcU3JLN8fUVsWIUY
tmtyzIegKPHT6KTBa1KuFpmUtDI9gb79zpaRj3H2mGT8mg3mxXF4XLmcn73UvJxtVeEcOditxXjF
jlSvNPSc1M1WbtNJwcF7bLEafvvt/mmjvrjsWU6tD8jxqDWdW8W02Bqd9VPkiM8CLMdks1OVi2pd
biKmkreFzHLEPOTvbNQ/3gJByQXy4bgQIM82aqFqS9+UKaLOKZD/niMREcprx7WxkB/gfhWN/YGx
HPmmYX8j6rf7t9/BH5az+/z6ZztnxB6oRv3GPAzF+A2CznIzVJFxUbY2C1uJ34E3yUrh/DtjU2Xx
jWHu8d+X3xlaotJhu6oeLKPPrjDIhnvWQ4B4+5n+EA14n/+6ytkz9Qagi8KqzUM5UPjPPCD9CTMY
6Ei/8/n+dCX5KCqCFlSrr4JB447VttnqYYtmvGIcDWake+SceeeJ/rhMnl/oLA5Qf4wD2ECT04TR
cjrj6aMLM8TjFEXIdTQ+5TGmpbgIkR63MlHWm6G5fvu1/qFkRgYOfTi4MwhhULu//HpRssytSCPj
gMBjc9iYwtw3uqkd03QxDo2xfK4bN/fjiZlzisSZhxJD64m2UJGkV74rIs2DBnBjK7OL6hLFja92
ZzAgS6XdOKyVt2/XeL3YYPG7Ur4ECpDKHnt5u4o25VG5ddxaPF4CPEJ5J1HTsN4K8D3Kdr249hKA
PjiMfYLu0oxFIEWosk+XnPTdqlDUQobIx7Abu8gqCrDU8zHzotBRmERTRDw1zRwf1RYRAIOJsAZm
ZpcySdtNKz6rjYLua7PV5FZN1NKN/KWnKjSBuS091Z7Mq77vf6c4/w+9u1+bX//1H99/linGLT1s
5R/D866TAEZHM+nZ+ngFvgtrUop/ccX++Tf+jr0zAZMjdoM8jovjm/vM2sZABAfansBQ5u9dp39g
7zTrPx1sVMEP44gjDFhc/+xVaZJjZsE9Q8CFugZ5nX+nV/UyRoP448ZolnE6WBDZDPVs3+kCxLhV
zHOQxXENlBiJ1Sgb4JlreCopKHBfPHszt7/j8fOOz8uo9o/rcUHUfFXex9nGKWKjz1HImQHk9dlu
M+OnCSU4Vi6o4revRC764kQ4XYvji74eyEdLWOrZiYADom7gjjIHQBnpwJWW1ci4oR1p7DfXeRRP
1yPuU2GhDxVYqc79aSModtvTH8eLyxxLKd+sXSDS0+AzLqUhd7kbd19NlO05XBwbWUg71mC56f3j
Om9W5PWawKU8Wxz0w8utWAR4gfoXZjoUS06u3ZcoEUx7Q5AgXw5mp96mBTJgwEO2yB8yYf4a7KSm
4zDDf3b6YnwaFyX5Fdspxt4VrZo6KrZbdMDQJBjaNQ5brDfx9BsYwtgo47Sqq06H1hwBG0EA5lZG
EUVfCWH4cul0HYmecSHAPzorkkBKrIiwoUNRM3zKFLjZ7kzZCk8IM0RDTN1TSYl2IUAAiZj1oE0j
0xZRXVWrfY86P7Esz4zoAjfH7TLVkddYloJkTh8CM1In0OPNg1KiEUsIvcvMrQorS1ytywi91wVg
2DakmYardFcraaaHA/cEMxHAGF38IvEV26lg7Fl5oCmMLMAuPCD2yMALIx2ac5Dtyf+pdiZBYpHh
k4OhSpLk+JppC572ihuAVF7DPNYlQ2nX68rHFVQcVVwPpnxJQprFJrBr96i3dATyxuDyHao/qkZt
kaUuTbGMX4DpEyoOP30xuN5UiGoHMY9BicnFdbsEre8wmx+RfRvrjq1Txd9jPb8Go5r7uh0/zhFL
XesBVJiVEtIiuKvzDkVL3mhuUPwAUvo0aAjEqYv+0xqjKy0Xx5Y5v4fgXag2NErSOW48dIjuIiPH
i7DUfmZ2uQd63XrlOISGmj2pOsTKPOoeLH4zRc4NfIMnWItX5RBfxE2uefkkz4qk/YS4W0g1s3PW
6TKJ8nAgBU+QcQvAokpRCEdHUAc2f3yF5g8JfAZ180M7WDepUj9UU9Z4s0FFZ8zFpeouv2xsefx8
6XAvKfl44HJxTYjdajcNSLOMRoo0kFNJZR5IfiMgQx2l7Rv0TR6x2/26xLodWPrc8zJyRFwi5R5o
2dWaYZi8GSYDSKWPPF1AZ8yjarfY8WUc5XVod/oDSBceIHKgjXG5Yob9BXQjQyVhV8Ci8YAx7MwG
w9ZS5dL2rCvHvh4mv+stdFiwAUzKFTuSmkmWUhRg2ko2at7q2/2gUFVHvbifVZ60EuXVVPEdTLV5
BEdf/87B/v9wffdwRQ/H5Gz73+la/139/F5+r/72vfr5t5v0R/34vfvbsS/4bf/y0P37T/p96LrG
f7oWTVGbI80A6i1h7b/HQy7cLujytjBdpriIJHDi/YOizXksLNJPyEaoBdPD++ehC7fLgjsB9hsq
D6bk9r/F4NJe1qTIwKgaAjYqTDUCMq7oZ6cu0IjeRk+zCxN0fnaZBdS0ceBrCyJTEnUYWG/FE0l3
420uGkZaL+W2EMBtsU1Z09rYjU7V+xEQJXyN0i9TzbZ99pL/cE6fVQWnW3Sk/zppAW+EfONlhkvP
n8whjzvMJKJlpyDuG5ByG/R1XZyc2++msdzY/ej3sc7Otdle/6cbQB1E51Uhx3JWluhUy85sFuhV
STFbY1smr9EKKYocBUmLluQYYUA2uvQcknYEgsJ9vH0LZ7mK/EoI9pATmfDPVOc8V+nNVO8ANrdh
N2KeSap2P4L+RjL1vcpVJj3/Kl1/v2tQ/1xGcvd14+xRgaj3wwpbNKzqqT4M8eDuxdA81G3p7hHT
Tb0VFj/9GMaC0zy7nojU6kpZ9DuLoSF4A0cJDMWIvveZNQfdoqsfjZwDTe6LEIWY7jhW9RqiGoLS
bUM4Y5wtaOU2za4bpyGglUbWN+q3rZKAS414kWtr/9VH/VHtek6ttEUWteK0o7G7wvXZkus1+rzN
pjS93u5rzbH25jIvN0ufP2nGhuTFVDxWSun4RRchX+r+YhTy0djE17e/kMzgXr44toTqqKrktNAx
k1/wWW9HbJVaxGkLzsWIHJTx17+yKPLxIBhQp9ZRGwBkuxPt5L7T2dDl6n95YeSzyObhPKFpThh5
eWHczUXT02QPnT7BhIhZ2xGU+nAgsQRBaoDkBwg5Aa/TrctyZUNXoP484VR8UEwqggK3WkRbXc8S
7Cnk1HPfjZgs1u28goCH6Chn34AdlEr/fdbA6o1/1bevM/BzGhjLGv6ZI/DxgdtNA/AsBVdH15xW
kaD0qOmV3wJBu4xPWdPkfmTQUwc5xjchHgDlDanHcTJwFmA+jSq2PCDt4+8AZC772rqyBeo6Ts+p
6So8tAApt7MLGADMwn78u9/atOEIkbQTkCxTatc//9aDnipqN3Hbs9IZ2PISFByVnsDpRXd243rt
SH6mINv13v58/bFt6LzYGSOroVru2cce9TJiwtgVYYRpojeNLjO5FGHrt5/vZUtBBgHg7xIz4EAa
QfP+bIaAaFBpYDRUhMkqqlB0gKuQonh8+yKOeVYUnS6DTD92qQLcqqOffX2UPtCUpLPO8Lh4igSQ
dTgbJE/4XvToA7PJXWXmbJnQN6+0jT6pVTxpsYlIHDI6VjUmnDskTZpUQS9pI6JyHquHomeR59ms
e/Q2U8+onHvFRnwYXdgbHd3UI1I8Dkki6fukFe5eAYoZYHWsByglhOpCfLO0RffS1lUC9EIyvIMt
7YrqDsLCiHg6ljdEotZx0OmhVtQ3ftUuKK2fClf8LxFkRWprl7ioNeh6/2UZJC22YeoUDdljuaWP
Vmbclc0WXUSoa+9M0uNOH0nrx8RFRLE6KIureiPwuX1Rp09dTF45wrmA/0/Kn6McsXM01ncV97oH
yOzRnliDZh5/Bs2Bd0nh3icsDuzhc+7buKtSVznMKCYEuNo9aBW7Hdc8l+lB3n9tJIrQVPDgQdtE
93LoSxBiM/M7atWEZV0wpiSd7WMEMIy2RTkZdzSPGutb1UnRzLHUP060l/HH3jiIN1sJRJE9aQkP
PcWD45e4SaODOHzs9PyXnXN6YgZ+Fc/4oEwOgXtG/jzIOUD8DJV+BijKg1DBi5oRZnUI06G7AfvO
G80+wSeV0g0E4iP4jmpnSboF9FadiR9DQMRAr0Cafso0977tkZ9lrjj4eeRg4kdvhYNlMr3C4NNU
fffRTjcVsdjxAwlGGInqEeNzcAtjQzUqij5wF9oQ5Uqw7NrM9pzC3rdt8VS5iJjb7XTZDtPlVuZP
VGFuyPAVSzWTB+3n0qLUvo4MVqADR9CH0XKTRzXlWMsZALeAWmyEjBw1rPNaHplrTX6Va1wK8NcT
tTArli+7ivjJ0mppZNRaX6YchjU+hCAhYNlBio6fagnPqRKitZrOSA8C/gPnnUlbdcT8tvIRnHnx
YaSD49mT4nxiPLzfsuQROcD6gLRsd2mjeq0OBc9IenplZ1TVpw9DZnDT21gI5MyjsVhh7a4zywYQ
G+odEa6tTZI+OnAAd1Zs3BlO4YbDWjw6oAgRdE8fNYY0u9PC7TbuO6qWvVjMKtBKG5Ne5x6v3xXw
kQpuU26BkhWmacYdXbHetyaST8AN23W18LHGVGYb0susLhuMdhNWkKHx+Xt8jhlL18A59Cm5mlWm
boj5pl7jsGjrIX083Ti3SxZDC3uPGtEa0vOF022N/Vd6DO4eojXxumEyj+Juc127bhuAc9c9ged7
sLXiqNnY5WHWo+xSRLq8bJnQ4KtB/GCLimIklWBJAFN6GbAELQLQo3cs3fz3BwZMfKcX7UPdsK/s
JXtqbe46arPHU7gYRf404KSGliSvocpiLtBTug6ywm/sNdt12kA5P/MSKQbIhzbyKbJksZuYBDIK
zq7Qx899tBYcFFzRWrK35sHS66vT6QQlst6pMW/AQkjuQrezJyycolv8kPclSZKX2psZdH3V7K1F
RynE/VkVBBNDZ+VWJF07ZuSf+559bCr83EkKodg1L2Sxwk4UjwP5lQxna8WLSAr75hSURovwguvX
Aw0oDsbRvtFrxuZtYd1R71RhqrFVkPN8XLHy8xyDVkcx8XFP1UQiExY7NZRAHjt2LW5OTziv+ZPc
Em1q3cmjANeWu6Hhxk7foNHdm7QE769WEeCP+cqJMyg6lVw2lYNHnG6VQa11D2pmaldWR0eiiQtG
uSwV8Lbr70jnmAQTC5hLvVpEVDpZAdFk/oAfwxAsCvs3Y2cywd/4W46pHKBqRReD/Dog/6EbbvXV
Flcq/ED24dJsy8UpEuOzRSJmx4U/p/QkOOPpG20O5PpGemvElc2dOOgVyo4FfsYLq35s9mk9Ik2f
l8CZYPj5jtVw/PREBNYwP16eK0bOTfUyec5ti+5SFKxJvoZGhAwCbN/Jkyts2fg/k4Y0nUizn+B2
7uaaRQexuPEYvgHPlb0U9Eyr0HBJKOTX7TOItEDcdyIh6lMFVWEb8wPbiargFH8LGR0j8NphlWto
k7p1fWizfgjkGYcQg4EwB6vaGtlAYsuv8M8AEtsSbrJGy/1TOowTFgpNANavlahYP4NFRqACmh0w
ZZIrdckfT2ulGspHBP2fqm25j9Rs5cDoaCFNvGp52kQucTEf2AJRN+TXC7p3vq3YEP0m7ETMoct3
lg7Dc2yqdo85Qsy37dKbWarjAC4gP7fEPmvb5FCgi4V17NDeSNHUyxQV16M50zPqrdLeLYhx+iOO
qft8nJ0AcHLkZy1Ekbqf1xk8tQXgrNliadtNbxGLonQ/aQhsDk4KW1YkpBpL+lS39UPUVcN+obL6
obj59skoMtSPqhwSYzN8yqo2DqlzUl+HtPLAoB5IYrlWZMRG6iejFvmGsan4m7V7a6NMmupYpgbN
VB8hOIhbbcRRbN5W6JczmLl8besj5q2plyfkye3W3RhaYoJXXmgru/HjqBQIoAm995gnGVBMtn6f
IzxxuXVsp6Yi2MsyrxZN7ica0CWOd5QFUaw4uErZ3qRWgc4QrUr01gtanmaper2k9y5FbJKjIN2Q
ACDfVZIXDEIb6hgJ2zBZzU5rq+KgRoATGfYdB7d9KNxS7Fzci3eTYc/XkyHNNRwDO0MNGhhm8hGX
x6mtGvhhpjbys7cKSTVNG/fdaF3QO/8WF/GMpWSXHMrWiSBARRBndPsHOBQmDOuPEXtREDygABKE
lz2IDDm8gqHwWA0d8KAqpTML2xqbYJiekJXw/0uNAz5hKGL32KVNMSwr1b5F4c5j3kuaiL9cvNK7
hH/9A0zUNSizy7Qm/sKR+qyp8wVyow5G8SWOma7yC9En9sAM/VuXljX5qHy3BqJu1mr4fGzmXQzu
f5cBfOoUI/ermJCpZmMvhSGVQ5sm0CCXkl0rK58NdaqduhGW0jF90pba3SfYuHlaRKSpq2T9bAwm
nrsC7sBccAKZlR09zZlSe3hfFV+qdjQvzQ1jd6n3omg9Zr60OMq87X7Em2sS3qox2GwBobYmCU4g
+u3hIXVHlRouB0AFveIUx00lv5Jd4DYmOKiaNQTKVLvh2HT8LVnRAwAlHBhsU6chkalU7c5YHAgq
VQoqsGTd1nKJUjCH5jw/utPohDmE6MRhxURwqbB+mgiaHAXyPmXLW6P7EPa2RlnIab1zSbNHLXnM
rfpBRebXmyz1rt8WzHRUwQpN+uXiNFZKVYH9p4hvYfdeNav2jQKy3SN70F32qt59HpX8r4wzLUYQ
ptVX9wJjO2OHlkN+nc3cjUNWBbd2ILuW4XQbELZFNDqnDz80+9ly7mk5PzZreUWCsdxuYunIAo3r
piOvUTT3SgO0Sd3ogDHUUfgsFuTS9DmYdKZfSFfzrGln36C4l9yqndb8dfJ5qkiTA9mZR7Shu2wK
VgOCCjUJFu+0LCTOxRTOl9qoustYSed7lGnhg3YsN102r9IYwF+eJ94qe+ERzkFB3ibLjaIY+riz
XRmkpYjPNDXk3v0Azm8mx9S3qQmrFGtUlKwPRayFkTr2R2gOT5WSPKF0/tB1nEN9hQaowRo5nejD
QhEm051WrtWYZXKDOxJVHjkBxbUeZFgCQpzhAqY8M6u1xt1dVi3o1C07YVu5P8bdQw1R2EPObf4Q
N2wpcBd87GqoQsDU0cVKZ3KH9PuCAeqQf2zHKaXTrgVKzPBnEQnZHRV9cDrlwGZUV+nEiAXko+Oj
oo1GccNlCp01vCTG9q00RPKzSxfYluAB6YCMIGvxH/ZGhdXkIlf4HVFkfkpXPiGLqz6W0VRdFZx6
p9VPvQlvMUsvKFafaELwVIX90VnS0Hb1u4quPcJ/nFxZA2GQRpVlbtACY3e6hulHYzOXZ6Acyow1
Kjc9ORRBIW7uOhfeojm4jQf4AtMqFUHrlDBGMzIPSgHpDUWECwXPIiJuc7nq2xaYLZdfC4d81STB
ShX9Q9FNJdMPJocKzvLQQulKsdo54kY+0VSZd6ez113Yp4kZ3b9d+Ft/ai/QY9RBlAhbVaU3zPP2
yZRNYoqzNQ+ViqIzN2jYWgPESzzwAhQX8GZUNGZsI1952GCYJno5EmqaL1b71Wmbe9VJNfYwha5M
M0ahKoEtxH0+xbeqvqDvXgrlADoZQ4MZDZZmnm7tUoF/6AwkwEP8+dTIPNVIzMN/pkOZPNnLMEk9
hzsUDyp4h4OGVuaKfHazlFeLopHQTTIpFdRAA0NT6iUsM5TBIvdSwDucirARBbGPo/Mzw1Eb8b0W
7hCcQFaUnA9S8/pW7ETHXNPeldP/UyvFBewJkwQNHMTdXr7SrEiTMmanhFFPTemIObromdcebJ2k
C8jul/QUeOnjM6Jlu+F04r7Ton7dADUdl2EG1gKoytHPfXkLaKdJAct8DDPRm0w4t+TQd+RJid1K
zfys8xIbmi/6ycY77apXljv0qyjfwZUZhhQDOlc3Y2ejyJW7uMQg0b2zCOo+Tnrax3S2S9/cmubb
CNozQMAa0LSV3dZTOX1yGz1cjUV7eHt1yw7cWTuWLyCA3zpCsLzP+sCjPqoN2hl5iMqPEsiGgTmw
pUXPHLizTEzDia5vX/J1zx5vEB1tN8YTKuLL52++QkQObZ4xxMzQCYp2dXCH4VdaAX+s73CXRYUW
C+OugNoylYe3r/6H3cycgBsAgXQaZb387iUvFc6yMoQtCt/A783eqygo3hkC/eG10mXWEWdy6Hu+
GlNxmuqwnKwh3LTU9EYcPPwuW74xiL/p3eKvdUBT+O3n0v70YIakaNHf1pj76C8frK26mLSkHMI4
zfpLsL/uPgUocSQk0MqZnXvIvEBIVbpncrReLsUaTgvGtkuMy08xpT+34svb93QGkZEdUzlHBCkj
QZSvFheUyy511YY9lmff6sZaf/1OfvOMHK9Y2pu3LyenjGeLGbkqIUy6/o4rB5EvX8GoC8WO0IcI
nVTcdAgL+pViVUEdYXGikjUDw7C/g0H53CCUU6jic5faCvzx+RpRo5+DM8MRt9LtHYSenMq+ui0o
JwCWWHkoBZ0PBJ2lWWMR92HpTvRpCpJnuyXUjEhD70ZdP+LEcJXQJPuK8muz72s+kZIgQSFBA1q3
0JgijwN0qutILlZgKmzjBmcc9F+z7AfGUdYAT2QzSUEGcTTAOsA9ehpj7PDKeMzQS4yDRNCpEejy
YcDEbElOHdHJgRWjFplnShuN3pC1tarquyKqAMNFSsmroZUlx3angw31jO749ic7V3pkichJMjxE
A8gWuO2zd+Nq0zJQGDZhHFEurFYbe2KAC13gAek1osVmOjGQkh9KczdMk3p6TFqrnlm0NQmhoFUb
cdJtmZRaVkclsMCCBJPMmzdpe92XMZK0qIrg+UwnNC7fjWevTC/kM4DDscFK2Qylpd7c8wSBXgZx
viPZJCntEaVxFJ+e2gz2oUMpBYRjYpdXmEd1gZaJFrxEuu9muIFvv8rXix+Cpsvy0pncqyhnvrwL
aBNGM4kYPa21u8AZgK4NKyGtJvudC+mvIw2jQ4DR8DUAnorzSMMUJGr1Isfou6IrmJH3aLgj7Fsx
VE/FBr5HCLpSqewutygy7ipg6zsdli/a1FPsz03yqFPCpzPzJlFS7+WUgCcQTi1rxorinf72FYQr
Gqc4Sx2UiNrl7bf1p4/GAI8BqCVUQMLnk+OKylXXtqQJk77UfL0w0x307sYre7JOaG9tYMzjT1kv
ncAzY5s8raXzTsR6HSAFsAjmiQbU2dfHBDY5vWg0rQlVs/5luGvr8RroIBeAoeb1vavpr9MuIWk2
LnNfA6aEc37y1trgAGlsmF/O8T5v6tWXY8mt12PP1WKLBi4JNewnjgjHxDJ3qx9qdIau7ZLk3lTj
xwYhrGs8rbbDROG9y038MkyMs6DD9dN1Zswf3v5Mr89R7hgJWBJim4h+DiTorEWU/cLWEgpiU3Xf
DGhM0YEYVeonWtkgyNTinaHlHxJ+rsaKgKEDQBnGz8udVJA6zHULAT/KaGy2tWFSiC9wP2tzgTU5
0E9FSoOKdjz2tKcuXYNGpewZ0m9XArzA0FnAuBXZLwqSAVUwGqEGihiITu1bstnGoMRMQDX6hjU8
6Bv51qknUmkUTjrj5/0gZDRLLfq1cvxi6mOKbjxAtrI2koO5ATKPc1h4wL4/F4CuUA5jqNfgKLnb
GDrsEyGT+Wh2Q9zpsGihijtp3Z5mG3UBnZOZ2w9ZCdvpwOUWlQlF9M3A5MlrMPfdA5+v/i9hAwlV
ADzMhJElPks1G2dLk84kbMTrkNzCLqEpQPmy15EV2dFYrjkDKXLBNz7SNqebbfGhq7l1/HnUi6Cy
EQcUKz2iU6xHk4DR6JpCjjX7xvKHQf/rNNo0GyQOXaa1FyXj7psk4yO8vShfJ7BgY8kuQDPBMVCl
H8XzeN/FJiPYTvRhJTiMxwWSUSnkljCT6TLu3NJz0fL/y8Si1QcLmr9zZpqv4y8a2QIpD5OEXdPO
IRSus+TuvFR1qKLx5td6t9xqOf1+p6ATbrSu+QU/iNJLjSRHOoc9kpuckItCHxs9eurGvGr9URUl
il0sU84uJkqCAZC9mt9UbbzI1/pBgRboneYPtDY0hT5ftGRBEiXAJBs5DbBosmc0JUO1lD2+RbZz
tya969rZ/KIWlt+o7lU3YaVj2SjfrRLzgrrME/8w9MA44hc45iKsHAA2yMDr7+TDf8gsHJ3sG9to
9KNRWZFv8RnCZWJWV2VzUoctQ4rTgKA05UhYYyLUpGzDbShmFOixn1HxNd9SMoYo/cLwoJF6k7Qo
VUC1TecaHqf1XSHjW2vf4+ieMhdv/qqY6PvxyixCoCATvr3EXsc9R7fJKNj3CH6+qpHGQWl6ULCI
hTpmqEXMF2WoyFfakaduFBIv70S9V8mzYE2Rn1KUmWQyqpC39Ox9QXSN1i6nEqS13ezWZpB8EY7j
0yymP33ekaHQRHwByQFoZJRjwGmAZ21AhAm6tssDCzDLDqjGe8Hj/KA83RyKuQb7TaKG5J8/uzl7
dbIMccE8TBNwBEPHPaykEaOcshbyrbz9+v9wObnFQSoZKHrpr44duHqQkus8nC25asGwrgoJldmz
dqgd36uIT8Lzz6twQYwjooDoBMimUTm+fLykm5g2dmkSJgmaYW4KDyUxO+EvCCwxakKVaM7JSLCf
48wgDT2k1hwdkJdCAao2xdfZLN3bbBqhtY8feljkQWsj9mnOUxvM7FGf7kp/WThNFbozLo/NUKVX
lYH/STSVTDc3LGn6lB+eTp0tZ9d3Ke3wYzYi1V1nfesrtV76meM0B2oYM/EUrKZ8M7YyTzXwDl6i
eU9Hsg26uDXDEpbtBVgOhYlK/qFfVdOjbDNCiPa8QwDlMKOVDHXAPP5QUSfvN6QG/KJy0NdK+ANU
lh41ibbT5nZEgs/R9/i6Zb5IqNQiKQ+Qk9HREexoq6fMqX3M0o0LAKoWOLDczXy7bKt91ZhI4mTd
NIO0qHK6ZJGB61+LAE/KPeAai7G48qkZzA9xkuo+7tz9pQMHifbPpn2DhGeEg8itdzaacZ6ow6Yk
CUNHg4LYVqnXX35sV/IllIJTHgQFZpqy7jEKUCNVrzLZJpfK9FL90LRtFUbNbHoGkkuB3sgPiOSj
Dw/CZn6BKBt6HSLz0yL5UeiZsUe0HocdF8UkaKlmsCqQvx0CJNj5rtozRDA92ZXYO8am3K/1bF65
8sdn9fBhSPR7S4A2mRfUwVwLN8IRb7eDnvXOOw2n88ML2B8bih1MHkOgUc+WOpFTQ2gsd/ZJh1Zr
skIZMN7ZvefB83QJAcLQwjwbN6ezF0wVZtEIiB0AA1nj1xPt16mbKDOaDTDIgMzZqqBp/XbIOE8K
uCixE14RHXYZNs4iFEKpdmYnndi3tWgDhl8dorb44U4x/AHHYKSnGFZ/rDsV77kBwdS3L6+d5/Z4
WsgEWSeBp59Kx+Xlqlrbspiyshb70W4U5vJZz9c2Nj/L5AUjyz027uCERLt72g55WJj29Pntezgh
4F6EMXkPtMjRFkIV3ZUA8edRmm3TCb1T7H32P+ydyXLcSJZFvwhpmIdNLwIxB4NBBkdxAyMlEY7R
MTqGr+8DZVaXMrMqs3vTZm3WyypJGUEQ7v78vXvPdTNtraa63Rc2ZKiZ5It51aiEuOBCb99JBY5u
eZD2rRxRnZad6cPJ9OY1UFXstoOdbuGsEr3UmjzKuqW6E9W2wOp+hVLYgjPx+HE64d3UxH7feNVQ
P5sxqoTVWEKLHYLuzvLgwgml5X9TfDkmP8PvfkYKWKIA8JXh4Lc4m3//M04ARe2aI3Tbs6puBqsZ
t3oVG2GgpDr++CECnN93+hB7N63gDxg8RmEw6/M6N9COzJRga4teRGiJKN4HsfDX0Io11rXegrgw
Pyu0GHsNfmzYQ6tbJ7F1nxFetamaRB1nMgb3OdBHFAAzcRWgQJlqA45w0hQ1hwvnze1mFD5ymbGX
2raozHndLNQYoC7brKnb25F/ua1chcRCxNdJczS8I0N+N83V89ykFptQf3QG/FGzTZx3XAt1NhOv
eyVe/dtfvzJ/ytWFGmXQhEdT6dEKxpf3+8dZkXULwwyBRpw19E56rQnBsd4k8fBQQF8Bj2Ab8DgM
e5W4gMlNOl5h6lT+PoOZQCAr3auM+TJUEJZZWhJfBUNGf68xwTBeDuYT/xX3RhHaykTYLvc0knos
NsLdgSb/OqcVYLY0gibXIdlzutbe1mZdIuozm1Bz5XOfT/1WjRp82AFgyNz8XWVj/2m3AlrAbZO2
keOzgI0/vFBp0k0u7RRnaygObx+Pwps5DgzB+OLY4npiLXrpd7tuGLWtpRUAZOZanIy08wFOJdU6
FSD3i1wWT0m8yDsSll0GKgWSHunNW3OoeDHdWFsDs5vXesM7MnWS3NwEBHOv+yQUN/1unISBlsB+
GJT1amtGvpoC7yESyTfuOmRDMp86FZ3m7WNEG2ciQfy7jnqShGufUBuVcx0vRbUuhrHbufQGdjYj
vy2DSV50xUeOQW79TQ/nT1Xacpc0PJumN/vOn4rCaUwEM0reHXzln7gN/LtlrTR4qoCKY1H861fV
+9PJRWaQY6FQo5OLtfSPYuaip1el94R/98ip1ilz6FeEZeJUzQQp6HMxbi09Sm+F24mT6TdseA3l
lzHw0EdVU8GDfgyZJr6oILoZYvcczQ5cVFQ+o3uc4lQSkse6VimSV/4uMGB3XmsB72WTcnyYA6uZ
sv1TtvV8b0rEfEYNjNqQst1jFTOYHI7lTdrq7iaLrXgrkMQ/DSpvrgz8o7VhCkW4QUICi4lOI7MN
WlzEtm9iDFtnxFzBgYnsPZFi7T6ARMu0Muih+JTeTYO74jzobMttlWXbdvk6TEzzpRBXT87Eu9Uq
jhlNKL8IHdNLYUx2rMJOA/+pS92mt6a/WZGXI5ExGGcLALvboCloO6tY29Y8yJXwDHcj6AVRgbIg
5r85oP/F28JLQi9m0aMvp+Tvd5rWdSFax6hifYyK7CE8vwYGWjhLW649hwXx1+/Lnz+PqSKKdEos
LurOH2/pblaiDJ6ls82LggKkYjUgmwsOaI4As8/ATv/684w/F5Zc234wK7jwMswL/lCC+MjbajOO
7S06JmuTTChDDXw6N0nBIKokDfc0BjaM2Rbsq+ybfdOyXbhAsDayYPF7Q8koYPCicOTmDJmLg0pX
/Kp1aTeIEoxuV9X8KIkrm2vRsl075XK4O1HDyZPkd04p36dlG4lLDL2JyUvnGvk7+sV6QxwV27tM
NEIWLOMR2kR7AEx7JnAw2zJl+KwBAK3nwfnMvPzdFHx3Te/G7eRH84m+lrkx+pHGimwe4c+xU2ns
/D+O1iqj1GrwhL6iKLOAVSK4NxD5ohFhNQUBp6TgFTxJkeunobO7nXSX07TIEINX1CVZwjnTFz3x
RMtanUz2j6boJ0IM2N8yxXs+17ziWdO0e5TFnD0Z226bVfVzkmRAyUrOzLzhC1UeZks6LvM60ART
gAm4y69/mvO+g4TQtkB+uM0vebvr3hwINUBasJqWUzcVZnuwk8xjsbBdJMZAPdCNMw9xbA+i0/2z
UTPAJ/+8PQRd7O9bjxVaCv4KcV7auowCoDIS8Tea727XxG1zmxioiADBS84FfkwNkv2t0uZ5XSmj
3fSTdHd4lPDxFgnPLnf8XT67T+7kfS3Q64ZAQs0Dq1OBYc+sDTsYb7Ez+TtV55QsCWX0j+UeuDw+
lKZ8gsYpUAVUOqLg+QvSDLm08+v48bb/r/k+lw/6KhmFJDGy3v/4kb2LC2ghFPzuf2x+BNne99+b
6fq97fPuH3TL5W/+d//wN8TB31g6DXgCXAtZtf/e03lOZtm8/w7u+c9/9l8GTpvpL5NQzsV/wj0X
9+Zy87TZGXzLZJH9l3vTtH8Bu8koBDCCjod7AcD8I6/I+IWK3uUixTbGv4Wl8o8HcPdrVfyXeM+l
mvu5eMYJirMIKgTEBC5mPy4xP7VxRqJWUN4Wal8qW67oQ1Z0WOpi16TGrcV2dEgiRRg1ATtO3H83
Izc6xw6K3p8e2W9f62eSAulh/+J7mPgYnGVYzOzxDzWXFcSahE8MBjBrgZx7xta2MqyjodtzNJ3s
el+7dxEy5j5ZnAQOKahmHJ1TMXarurEe+xq7gQkw/3lObi29PFkpo6PE7xxag/SrXe9UGRWRB9TY
ttPdTz3ZKhGgrx/JmXr/NADambAcjlG5SYv2bszGy5Ah97EqYuLcLUx8sonii5ZWBS7X7LFPrGbT
WvG77WVyjQzQXTuuGiu08mDhRz5o3fs0CsgAf23b6hFy9DaLJjw+1h00ocX2lYkVD7a1rO5VuEMG
lmbWt15MwvpIhVwWxtYhRWMyz1KTW5cEIuW/aNl8JSnwAQflEUfNnqnJsRQlXoIYzVv9MI7OFzx8
xJmM2S33035lx4Qwjbb09xbgbfrwt40/H93R+S4hiPv6G7i/Jy/m4zvv3DjN1Y2MHcynjTFq68E0
65Xp8TUQnoVTT94xJg2Zq29Jbbn7frYMej3upxnM0aF1TEHcjVUQN97X69GbT50xnDWfdjRqtHw1
GGZoTe4DERqHRr+SRRPSj3EZIQ8P9RjfcW5vGdOmPK0gQ845bRA3du5wJIniqUAgtNI1m13toS7H
T+DXh7HVv8yohSZa2ysxVK/gabaTk5zM2nLoNsTrIpIo6YInXq9V5uDhsmw6XnTa0WttJl3dxlr0
GlXzSbnWlVssN1avfzIsTg0Dhn1x2+qKLIKRg7iP13Kch5XROdzICLvJonwdjN1banWhaXPJ08f8
1ePVrIX7xL1aX2Fu/SbrhkgZUaxlm0JQRGxWpN1XfYl0jnQIWvAIO7fceMYQOkq8pIXxaBcvXtPM
l5Tu74uai1Ob2ffRqNTOnwYQnzBDD7YJqVxlJ8xDa7cu90Tfvbp99J3Q5DMZXZXz1Nowrw1yCbCO
6ffmAhDQhvlQxemLbZTDvgeYrtCFzpF3o8Z6jf5rqxzrYk/3jV+dmcaFbSPA0dqTvLEDatoeznrv
irtujAgbSLs910dUAGDkma852d4Xdyo2bgBTh01waEvIhVhzV2wHd8nig8P9/FJhLZ2h+0VzskmH
Mqe3ZzTnOjBIHY5J7k5cazPBOG19XG65v62zO+5r4VAZ92BegZjb21yfn3W/2Ct4Z00nhhXDsRcY
cKGt5TteDQ9kulkcLNnbFLdkNEfKvZW9cRQmUUzm/JQo01nXpB0n+GLDLHGwvDiY2Sy6HOMFDfsO
IWdYzr53gma74b791VX2nRGly3IyL4HeE93VOZckiA/Mft7KrD4kvfNNZhBZuAzQYcUgYMpim+Xl
3lkygXM6rFvpMfBAgn5dzsBwjvRLjBZwUxp3DUGMeqvz5BGCxLp28KvkDOdnWLsYwZh6qK09oSvX
XOfOaUhXzlPIY2X1mCypKgQRhIkjAHi11Yd0grU9uc8F7GOX/2NtphlAEfSp0yipuponjwAApK9f
+qmo9sLoBXWS/zwP04M3DPF6DPA/dGSoRStVNI+6Flxmq/7S5c6b2ZlbUs5u9Kn/Uk/ZSzZ5xa6r
+DnQ7Uya3DRq2sxeYl4nW7sGPo+noNj0PeIre0Q/PY6SVY0instFk+49fzgMuo/X2NrNTfVpZcWu
7NN3opmS1TBFh7IS5rmOWPklFqvQqP3vdC6eR4ciit7rBo/xtrYWPauN465Y+BytUe79OXg3e8S4
dRvw/nU6WD+hh2aqPZnSulnMdhtW2C0Jki81iUwTId4bmxDvUC/a9zTzWBiFQWrc8IW74R0+ikdt
8G901d3O5pKglnqYx7GcmDI+zLH9nXKUeOwGe46RtDczj1WLonOmhm1DHuDKJr2ImpLblabB3RcN
o/1mjDZE7p1YeofO6IlqsLW7plLId0UMJybVzrZOYkMSJ99InoPxn19x2mHg0uJ7eDo7IGOkRYPA
9bJN43pQ262DnO3j0A4Uv0dXdGGGMHwvQYjoSJxd50tvZU9R0cLvJUFs6lfcMMJasgnpMtp2ItpV
jbuu5Jtoy9si8F5UYxzGPFh3uX0a2m4/qGobWeXaoL8Q0nE86MkYrbK0W2XeQx0Na5ws+ym5rWX3
MhUMSYZ8jxsI76PxSil3MQdFJyQgtDXYJV2EdaaN9rMmlgt58+hG3XuT9dFK2DBy3ObFJyzVyVGU
Yw4tA3M/5D3A15txttZYNckHKZt7bbbO08jORTbaCpLjEkTi3Tmj+F5Np1h5G+npFzF+goG+pf2/
TaGZNrr1SQXOdRtucJ8bJ+o3pOHJZ2KW30RsXyy3u7XcZp9k8SPMpI3eA0FymuDVTzG59J8dlXg9
sXUWZdg6za1TjyxC+coSea4n5+jlb4TxfSFo7S1mftJm6U2v9xfCoUILMRl5beJMb/AFK959Q7yN
B3Cgxxo4VcWldoq3Il7CbTX7I/DqW0hFezlOZy9OCshKVpgGxr6wWnoq/Xs/969YpDa5M0MaTb/S
D/sorOkkNMwREexpk6aTBLGMNbFFVUnSYxumZDIlDzC/LTYFwdyIbbmn2UuYiN31m24sdoN1nlP/
MJj5RQ+S78pXGws+AZ5azk9JR2lEnQ+jTmT6GecQON+gvont7L4pXWxD7rUvVCjQjSVF90WcS5Jx
26cU6YRVa9uqTW8reqpcqIAzKWa8CVGB2mxuSsGPld7ReS578vPGYS+L9hvCpZNIsv24+Ggb88Ym
eAErZH4g1Yrbc36yR0ZMnvvcjM0HMOBo09l2gSFQIPnWWubrHYEXafE0Al+4H+bACImMQfau6xQ2
UiJkUeTewYfKIBVlHcio0nbuKuF+4TL41Yz6FygQO8Sixcqzm+cmg+Q8pMQ/NhscTKEL7zseKWbm
R9UxB2PjxTQcWk5xrSuke1G7mwxn4yktNOOzGhzs02K8odUKokKGwfCZiyJEUtLVOESYHEZdcknb
I5FCazf3wvE6zmIrW7TQ5aWOME9qaAwgzQrOj4R7eX/tOYrWE03VdNjNwVPsmS/xoF+TXmc/8HdJ
/JglCx3J2feJfTcz7qma/mbUi3tl3BUWLxDGrTl503SxGmsjW8neWU3pxzB0e2BDN0nVxNibxuMY
tIjna/czKJ8Fa3OS8ZHmHjYjuY8CLhJVjcwVaPwUr3L/0UXX5Nvde4JjA/1Gv3YiPVn51A+95r1k
nSUBdDzXpBPOtXbozRNiPQxabFk2JSnxdse6cB+M4lE5xBtN9hD2bVbjf0WexGZdPMW6p4WAnJJj
wFS4h6RPadnOgJfL7Fz5Lk4qR4DURllxiCILz5/eBN2rM2Tyue5gZc8JeXUq76bPsuv8uyDlWt9k
lvqmBplt0FPpO8dJuTvMbgRUq/dD03fGjXQc/atb5uLetwr3pNcxcXps9sU+MKvsWTJt28C8Cq6z
sniSWifeCqrhfc58FPA99/5Nhw/liDrR7EOhZ8QXEhpTkjd3MLwp3nuNrX/nI/2vNOnmD62An1k4
U4dpJjUeJExIWOFxd/EF8kK9JPxN17zmgfse9TGF2bhSTdne10VmPULhG0MtYFI/pWI4oNUiYk7Z
8aHXJnPrYbO+I81lXEeT4ZOzrZkZfk4c2b2s6nMp03jDWVOFoxPMBw331dksvehIB7o9Br0HyYdJ
E5iCJuC5Q5I/d4zWw9KcztI38XPHk54+0DL3nvVGn75WpJmf0s6NtrE7xxd7nOUXIBvBbWqV9RMX
HdaP38bFh5+6/auWW86wojROL7bqnEcnSMUV6sR03w5BdWsMjXNVdjpeGhmI02Q/q8RZtb5qdsHc
jddIGvaTZtukYpbJZH5xfG3YjiSwIuwf8/tGeT0uzhmWGwfmGyl93r6QvU87fxw/0mYu7/p86O4c
TNSXvDfSQ5FANaAFvkwtEpJlpd9vjYk0hJi6fuVaFTNfNZOSE5lGKO202AUirnbFcsEuswlwuYgj
2r35QNPMEs6LhTA4HNme3lInNwGV9NbeJnz3RFdoYk8p4e/lyZ0c30bRA+kXTqi6fLqY+MliYkMn
9dDyZk5Gsm6nYicB1a77ev7qwMHjxtv2KH8i9Rhp7pNfzhdixL64Sb4npOcgUPnYM6h2u0v2mjue
6iQlS3aAYuY5oaaT7GTDnnMmzl/dex20+qCmFLKEYQMY5DAz03cblclEs5a56rZDhYfvceBgsJ0R
cTuE3ls/tvVdGTUvoykfzdI+JLp/m9s9xss5FEvioOx3KqMv3TwbRhdsKq19ZawmVlOcUFEW7qOy
1VNEdE410fvT2IkSkQHf0w7A/5jQxOpQGTWZqhCQ90W5TJZn8zL5/QrdVk5OQ7kJanGuk6FFPUFR
3iYJOm97q5puW7aaua42bf/So8/uZHsipWCFK2ob5+VnVbZ/M5RFR/27ZgdDdgfZDLJkFxUyvejg
D6p4XOtUTI477N38hWt+cprHfryQkGZi6cuno+6W9e0o4/me/UlcB2IZHg2sbZeGPLth1bqlIp5I
FR/ej6WSLatmWtaPs6wksaypbFld9bLOjB8rbll7co6zh8ECeb6SLM1+WaP+slqR8M3HfFnB0Y/F
PMZWCyMn045xxFqfllXvL+sfR3a8IUmpPhdBG+zw0lnZCqaVf0ijbFqXmMfvGKyZ22rZW4xll4EW
MRziiJ1H76IxrO3BevSciX3JaKnPYyG6Bz2V7YMu24IIW7c5VnPTXeKZ21iw7HRmRLMcVazO42If
dJYdUSP//bu57JLN1CUHUclVUNVik/3YTPtlX9WSGLvej80W3A9RMJkv3sqKOqPSp+Bqp1mwEcCz
n5UluDAMA9u3Lgb3VE+DuLcDaXyNAm3cFAg3rSrlkP9xCMieAKphORna5YyIltNCLucGjMXpU1/O
kmY5VejnyGdjOWkQuXDo8NuUhxhyw6ZeziR/OZ3a5ZxiBCMO4yhv5HKGieU0IyH5KYkSM175czt/
o0l4goEUEGphGu3z0BT6qz/1HZowkJsvk+PR1CpI/v4ygBxh1VgkJlQxDaiMd3PTu0pi/aaAM1Fy
rqyxvPXavCSAWiSoWExxWynePAsjeMWlbe9qIkDN33jRu104QGUYDcxcbmRnbFtH9xpUtT8+EdZm
EXqF33qc06A0eZlKQRCFlDlhmKn77hO9dipSNomdS/ABicqGTaXA0LIkVZG4rQ9Lr+6VlTP1qBD+
1ltCnKlLuC2EPbxSGl4FAtq08+iqOdW4UXV9Fdw294Nmf2lKWjm9rrhJzNSVM6/vlAM6jadxE2jR
Y5rWj3knio02pM16iRq8xc2HKJML+3cuMS8abOyz1QfBpq3sJ/IeqYA009rohcrYYYUPwSfOr/7g
ajc+tOMNBz00IT1LHj2yjVYMUNKjcN3HxEgffezUp7QOsn3pUWb3hX6MLQPukBKj2LqjoujpcLjj
R39LDJ1eiZF8Ev1F1kQ9k0FKxwy263RDfIu+Ggr++sCLERIw/ur0hjySt2ttS3e0ma5Lc1dPebNG
OEmM92zvfCExDJUDwS+AXrY0U2mr6M173uv31IXkMLtjvaL6eKrk+IxyrHwYyF+6mH4udnbfKx83
bYbc16vEOs9QOcJwI9tSI+7SSt1q63vzvPJt1W6VyVqTPn3NqJXcwOLJI4G+fRtK5R0mI0tek7l8
cwxiMgqnana5x6ScJFzYd3Pe81olZGgXxRg2BiFJXUVe35KuFy5cGOJVHHsJEy4oLSqd6/ydgxkN
CBkV0yS48gs/ks8y6vgNT9xacQW7YRuoR/6dc4gtJ+fYRdj/RM4NGfCdExGcFOh7UuuTs4y8bwYi
zkeySGbeAjYUrSi/cYv5BBr/yHAEaYiReEu0j31bSYZO0uXZ5YH4hvTWWeVwVVZZ3RZrqgIohlPy
MU3m65B/0Z30jJCfNwIQxFR6d7MhCW3Jyk+3na+TIV1K4R7Ddt5hidd8zwT8kMS3bWOqtZWyORo6
Fw9V+hxWzPYeFCz1J1xlLbdX4+sodWvj1OmThwPPQH240RhHczOumhXQXnETe9Zp8gZBL5n1Bb2U
2HqNcoCG9C3wQ8JWek/W+6QD7oCWT+zjIZ5fU3+5ZMYWeeYj3lfyb9FMh2mn5rcoyYq1FaAr9Ppc
C22HppfXpdU7AFnrEGuufhJDkB7yzm4vkfS6O4Uf+c6JtPEjYv8hE7729uNSUamltqqXKsta6q3h
R+W11GCmhjdKG6QGNHapzthx7SfAc+O1WYq3nif+Y8rwvzah+nlA9R//h/LpfptHIXP592Osxyap
+ub9ZwzpP//Zb2Ms8xcLZt0yQ/9hlf1pkmX8wuwIkSxTXxcByCKg/EdQnf2L4yzjKsRnpIBY5k+T
LJPYu0C3sVr4xNXpqAL/B5MsdDm/q6o8fyGh2mA+mY5h8wz05c9/GmVVZaZp5L31sP/tiUYjF3F6
dvtCFfkKWNAr+rh4pUaRh04L32aW3ffRNF/Q0L4Co9evUY1uxqmHbx3Jz6BgiqUR4vZrTSM0duzq
8iGr9Pa0WM+XDbBczwxsGUSn9+j7ELNCkNpTS7KVxtUtlBOUjckkKI2dV0lxQiT0dJVc6YoKlv+E
/DWPHayugNJgb2gkH1u3FjajlSO1+g2pCA0n5kl7dmKXFo4V8amxeksYjyFiuGG4rYhGHeCcFG58
xxQjIHAYV5Zec/E2rLQkiJttoYNVfay0yr0RZYRiuvLsYlH7T89RQG8ryd4HDAQZjUV4/N2EMw95
z4a7DxBvJAmh6GkTpqbdXyGZ7bIms28qxt8kOjn9do4mCW080LJVbaD7WXn9REZR6hj9p9EHt+0U
uxujsbx7G+FpGFRiI+o2202gcJBt1+XZSyWUubGNPixaqHuXsuMoWrNaI4oiBWoIvEMGtuIIG9P9
6NzprRkDEVqUoIstvw3NAJRcVVrVR+8G2jlyFWlQA1ewpBvS9Zw79nnOmn7rFPJ7anTDjkuwd2n0
FBl3jKSrTw2TzVf6tEo9e5MJKDBDUDd0HUbz6lN9EV6M7QKx94XuY/ZqyenV9isB/4JI9nY5rYtW
v7GX87uStkBiwJmecagkpZ/tPRm8Bcu57yr+OgaHSWwHw+s2igJBLpUCfwt4TdWIU+LljwwkHr2l
rvCXCqOIx+SxjSCaET9KxYmSDssDNQmRcT5lInXKnAXWZlhql44ixrOwqXv0os99Wr/wvgbfx6Xm
0ZfqZzYlcdNLRaSqlutghAF53LhyhJZB8ZQuVZRa6ikGNwuuxf6Sl6O+T7v2aizVV7bUYW5qtdui
l92zHisAeq5/VVPwCBrlrrS4bnLj4XoqbHfVKtpKq0ABbh3HdhnWWmbd7ArcbIcyYh5EpdZUd7Y7
VhvD0bS1aLL8EoCY20ibARdpL9XW5R28xF2rjgQvJUjd0CfnQrCdBe1uJrtjMeYL+sukKaN2Sa8k
NPs7qloo2E77bMTt+FAEBS0qxu17o4vLsLNdWDqpucsSVTznKaBuflWEajmToo+dduBfei36Qs9d
baLMrG8AZMbHeRrIeokU8+uV4TTmuo+a77JqwO1T9tKN5P7lFvZ4TyOQdGK47gyBeyvsWvcIfNW6
6E2E7yxykGUEQ3I/GAS9TpXfX/R0RgKpuYQqTwGH9EyhPHiS0WzaZatqNu6jrAMaxY1mqYLkFuAc
YJw2omftEs2edYMPWaKi1W+KJY+jyIuSjpPukhmt9S9TG7hPfdx7+9qfohds1ohCdCRhjtLTXWJ7
4oALdjrVnpM8wfOijytr11oJuFDXfDa0W5A5M0Vcnr64pfmiC27N0p1WcUt2WdWOd1WnzO+qMtRC
TBjWWtKi4kFkiGFllPPRFxoNfyZT3I6G78pqi4tXWcORuLphz92J9kNU0W7w8mxrzPGLb+fVLTzJ
E45nc+25qy5mFgm6hLijyZKhr9WnUUWYr43EStfFmHF/UMI72XmR3g1zVN1ERpdehE6jV+r9Te8m
alfYXf1Csl6/Yi7H6KeeaLtNMIX6BP930U48znROn1TA18iHab5GYr4fnbJYmz5sSTkNyaFK+3vO
ITqVMgKcpTvxB7egeW/k2mM81vpmtkp4cWbZXWTmO8j952QNQbRfl2ZyQ5YCaJnYlvdOqqMnTRjP
NwY3PmQRy80MaRd0PipqDYj1ARlwv+602llHiQ88v8kaSCLdkmVRk29XAMgh7pldOHG+AyMq14HL
xckOgvuicb8mpo+9N2VywuiWqbZeIcBS3GOtvp03pLuzvUS4F2QZPWN25VRcvgOyV2sTJ7D3SNo2
X3zFas4dqPZ4uoMzyB+AnaZy8OBkVjx8aMA7icJDiftoVv6n06bnYujZfQELktS38U3/otBsE2yQ
WRp+FTFczUEg4PUzbeVo6ZXs7mXU7KbPFW70TW2iwQhm8VyU7s7RhnztciaUBNEEX5jy4mkOqm9y
5IVy2/xR1ZmH5W0CTpHrt7Oa6UvUU8hplz4BgsTHr2lB2Cy/aT+boq2lqOf9gq2nC8pvTII/qIvf
lGdGPFRSAjc5UoeNh2JrkcIkRxCZd/ibmrOvxzjTcJUmhktmGi2IUJbKXKNsQEk5lyXoIc/atypr
HlF6duu5xfftdl2xt0b5rmvsQmBU1uQebtzO+ZhKhlm2842JI9jzzmDKZzm/Krn/v9z976i2rCUR
+d+Xu+v3b837rxz+9xgK//5dfc+TP1W/P/4rv1a/nvWLuUiycIR5OCoCYpV/o/B71LGGjcATbRfa
UvMnCr+pUzLDAKA8cwyHsvSfMi79F51iWtdJy/lN/PU/KH7/oGyl2Qx7mIEHjHvgNfhgf1/6pqTc
jFaUR5sBhluajjvXFlv6a0CK7d1Pz+lfSLX+yPvnZ6e4XlSqiz9gMZf8/rPigkhgzHgR/GS5BcR0
nYp632betkRZOwf1l0J3wm54Cayt5s2XuJj1UFivOSvPTMbTmHOo8/b/zbfiSf6sY/v1W6Ek9i2u
G4H7RyRUVCUywGMWbSoxbTrUGLk7gC80va0RN5uZcFtPK0KXXA8fhmAQq/UUMSGMaMw7Hfrr6v6v
v5D545n/pKxbvpFvEtbnWHS1CHDgffn5OlLQS9Fgp0abdu7FzkztAyJc+wqJJ7qMgnjZytHyS5Wr
vkFuPmNGZ1DYzQ7VdqbswyzKN60pnXt2h/xkEWB2sm3OH6/cMiBoOFOGN2/8mnMPUR1jB1meXYat
2bAafYUwxIHvEK/IBdxYLcIHeH0Iapj1z+ua+QEmv7Nea+ugolNol+s0t89B1m97kRxd7TqY8jpH
nHsQCu0af7I/LUPGNehw5gDmMXajXV/Lm9Y19wm1Rt28ToV20Mgxm9WHVp5c2gaYHa1jRblm2vss
eFa9elF9BhB6widfjd7B7p6BkQOVVMBu5M4CtVy0+chpf4+KIfHS25zTB59O6DsTdLLo6AhozMSo
BFG+iPUeClUeLcsjGdVCOBgzQi26bZ3603ZJ0EYossZJigh+WKyJZyXcLbrm0RvA6vOZ+UDFToJR
LVet8+L6wTEtnNArs4ORO4h6e8oLtSWFE226RJs9hHHe8nj4mMBeV/VwlY1zz++TaZ617zu3WM2D
QrkOW4OOo1F/CO9ilvVNOXerJPFDqGDLDPRY2axM5W/0tAi15CEjj0drbqfK27qBeFeU8Lb9UY/y
rW2/luCXYuQvQFovLbaYYLpLGvrVMHwL39smdNLiqO1vSb+oHpBUvMVeoZ0nioy1h9dTo3N9hdkn
uzDm1TK7iOFyYcuvsVVHZGaTVx0WqkoZ+pb593Yqxb05x/I9sBLqLstZFg3RS4kRiYM32A+e0ZtP
bmYq8rnj/guJWwBzrCCmJe4F4NdzPX4uqqyEp21FKyMqKWYBv8LyiJy+eOAUZljmtt66a2aNodIA
T51v4Y7vTjPl+9IpEHCMtYrPQlXJjdVbF6dp3ftmVt61M4vfch3//5D8u0OS2ATrP6k7s+XGkXNb
v8p+gIMOjAng8oAzRUmURKmkukFIqiqMiSExJICn3x+r23Z32z47+maHT4TtsF0tSiWCmf+w1rds
bJG/O9b+KQzu8p1smuS9+uNY6B9f+evNGFi/XIMjrncBr/erjvnXfBrf584EKwaZn2HSr/ff3/Jp
Qi5NHKcAGr1rUGLAlfabwvmaF3e9NEMuU3g2TI/+ylyIV/zz1YA7CAgPcTdkBDh4Tf54EGcF4FyH
JNhtZ/aPAl7mXsIOWdV8HraQZ/V3zgtGs9yu+6GW84o0Z8bcqeBIWSQ7KLaHsFqZX0CYtrT30HGz
0KbE1aGn9I/Sspju/DgRt06QMNCMQxo02rxviqpyS25a7vOSTf/RZbHZEXiNmjFSUyZehWelLz0L
xtsrD1PhPuizOFIYwG58PP7EDGh60SnxwnKPafR6Bmi1GpCJwair9Cc+PbWZq+AmKPT4KmwEN16N
uTDi15Fh6yEWba9EkG1bY2kKHHSwxxDc5M+V9N1mVbFLXCj4JxZLiNKMillUIu8pGdwa1KPVVOvU
CJkkxEFW7Sa028+VMsc3lOnLjEo26zGw5jH094z8a9ssihkylYAoWSjNqWAQbxX1sKLumS2NL9xl
BFtiDTRvcJsSqKXnO2u2xn1mdfqzRsrx1XBKFNld2XX3fUFY3Bp5KHvt0vJeYlM7p95xjEta+ObV
94h4mlis8UAMmn4Y46TaKCdJvgUziXYkDEzXH7xkm1Twsw9Aer06UPt6AGtulhmzFd7m6kMMjXfo
UtNVkLVMmx8SyFKEg77GjZhb97YMY3S+/gyXBxVEGQUGWt/EE9nOFqy7otlSBzfF8D52mnlOZ26Q
HRooHnT6OEyZEek8GS1OtIVwGyyhuHCGRb8TP5QfNSP7Wx6oIY8jETTGTqAR2JBp5zMKCdfj1NXr
wrTGdbgosad+yV4aIr/Wy0T/axl1+WgYPsd3wGwKtUmyq2VN89Nr5z4NC3NTBnmyF2yiqBxqNiFG
12IhK8yv7bIsx9RF9FE7VX475zyoqtb+R19A2Tcd3CxFbads0oNL2+qVDlVNKznAiCkmzcxNNc+N
g2IwGQL3PbOG+SYzlbtK2AhucXVFjq+6L6bZvMkUuYPlA1XkbXphU0NNUg09KbOkJGVPEn2XYnLU
oJQgj+jIpinxUVgX0HTBuABdb4dmQD/bNww8bBsnTtMl2YXPgX/bkQTwGBaeuOanT/mxTFFyd0Ts
XNw+B8FdQ5IIdvxD7PqbyZGIBlQ5P9mt2e4Lnqk7k19fx2S3j4ErhRk5iQ7hiLIW4FrywL3zZOCw
bmmvYnpZx0iOUAiaIwWs0rJibzXF3YdZyuT6oQzCi19ZcMn7jIMiEaaiYfTEfE7djHVyW6DWxtZq
XdM+knMztQkLoj7JHqcgmAmhmxnLOaEY35osb+6yzNXH2YSDi3EwU5F2xoVXKltEd4P1GF63K8GC
8DVicDJegnCynwfpoyjgQv0Iy0xeZlRsag+u3/3g+c5+pGJ0wBp5SGhB5NrpuxWXaCNaysUK7Ljv
3+duWyGJl7YXObl02m1R5+1OJ21PQIEXp7uGLMb7lJjEywhR4hgrz34qZOeAl25tfkh69nOaoX6j
7Gqtjan6xN2he0zuF51bD6NKxC7XiMMwj8vPnEeYdzV27Jeu7voTIHxnE1uAbOFEZuhvyuCuquSS
RqWawdb6TmwSN9FY+7DVyY1njUQjB0UBrtTzSJpVbCsvBrIKpL2iZBCeW/6dzxz/IVCJ+ejak91c
iUxOisJA+89JKU1nNeBI+tQLThMTI/yK3JC8XSmvXYkhOOZoOfnMEyfdR+E0qk1sYNTPpG7JG8mC
9OiYZbrXYXVn5qo3gD55xpqEXxaVYW/tp8CSDyLvEfbzwd10psx2iv+ILL1UT93ozFHfZR2+3/Ce
5X9yW0wy+CycMLvV5AJuLZvhWauICUmEtPd+75kfxdIWt+OInCuv4n6XSs+/gRPDe2gn4hSHLXuF
IR9WnEUVab5zvqxqpm4bX8oPchtrNGmGQrdfoZhPWUoEw5dclM2Oj356sAr8nq2drg16kG9unX3P
u8bfiM6YVylm+dVY4yYonfaYGW678waPUa6V3dvQlxH2CeMBAIq/nzH+sySMj1hhPBEB4zY3fWnM
rzMYeFwPtGQPduw6zjpJjGajKIeXqrws0p+20huDbZ02r6U524ey6a01nP2P3Bh1ebQhmDoRadKs
WxIXJ4Q5LNO2j93x0UICdjuNBrvqoumvrMkbKIdfh6nZuxW89KpbkIZP3cAIcbLugto+WVg2wJOk
yBsiocK0YPJfMxDzh/zGZmYHmLtZZipjLy5xzJn816F25Q4e8lEVMW782Jvbeb2ktPlrK+hnCQ1S
N/tRle9yLuURidTw5pQNzN84nbPbfO7HXZVarbliWN4+QotXu6XVAT4GyEMrf5zwdKP+lltbqgQ5
1wITfDCc7wRfjqg1sAAiSQS0QDFjJCU7kCEbmXd13AOZ3dVTBHqnwllQ5uKzqjskx6LX91mRdiD4
Se30NZdYGA4zMTb4iurgnr8W9BIshPmFThGTEZ5FXYN919NLHKffQh73t8UTa8qeW4ItBtRTbf7O
gdg+ZgKYFGt2CZFp6nBMOHULYT4hIZW175uRMBBN/HI65o76yZi6Lvp1P6+cUOlbPyi8j84u6Fn4
xlFisdYH7yAiKQ1/q5xGPdf+WO2JC0Kd6tN6YQI9N3mcvBSeRFF3NafCTSpf9eg2W9tf0JgGJYKq
fdknaq8reqJobFQDia1CpIgZrjpzB+gd4qbxLvDwQdkUZC+sqIvj1BnTsbWRvBFSZB4aPLpcSL53
WmhySOKxs+CQKn5XXtgvn3brmfuAzcTa8ZZ420l6lrW0vF2ReiwmiudZFEvUexn9IKbSxlFrG2yG
b2I5DyZg+cwhhw2xFd8doEBUJzyKxSQ2tknCNwcxixoNe1gYa2HPD4bTOse61u6haGZgQ7ia3klb
aVadS0nhdfIaGlCZ26aHFG0vdo8cNwgeSB+BTB63GuhEF99W2sqjbI7RZ5VVsx6vNuHMse+ScbhB
TPgDwVaaRfSf5rTyqPa/DXgq3MWDzm9Tat2FBeabKtHtTQ+3dMcaMjI7za0SKmu89ARnPM8uYsIp
m0a2XNOdmaTqOvnvMOQI+EIjkkD6RgbRiBGj2W2IAeEoY6HnTG98EZgJ6S8f+NOmDcqqfEvoXXUy
m8L5wu87QHYphqoAiJf52ybF/uHhlNlXRGwg9/X9h2bkLgfyhzqhjYt7kMflHeqS+IGxXnCShGOc
QBmzmU2bwjvzCYX00zSpOtGHSLDqtvd9MacENWRc3TuTbd15gy2Ogyq972Eah7fiGpiW6TR7clTb
3iDxc1l3tlX2Zliyv+XYLA/tUuh11/qfyTCGe7/KS3Kd8uGud63gzXWvWWR5xcQY9khDXeTkzW0z
t5LKP3OyQy2TDue918ycHj1R9ctUYd6ph32ofMFOwJ8f4zzvFtzPw7HOfGgtRsgYZCrmF+101f0k
09da+PEZbFjxhrum3Ts+cte5ALakqMEhGxBhkglrIxUOOfzh9Z3y0Z5GAJgYiTjWpjI5nIdQwOoH
/v3FpJXh1xxgThg48Kgf69e0yryvYVUWRyupeIBV554Cq298wmiGoWH5naQPiY16RA4CbRNJNp/x
XBbXXJ45igOb7zx347bzuccn309uwPQ8i35k/2PEVJko/jCbjW9KJVhsCvZPPRw4Wb5PgF3O3KiT
GRFPhffSG1hHmMbaJG9sTZvVR0GjPzNi2i5F2MhjrvTMYz2OB8a01pFglXJjd4W5nmQRE2sWkIbT
cEC21+jD8ptmZfktCRrnAImJtKhsNjGil+pzNtL5pmTnhoc0Y0lkI15BmUiUR4BXflstml+fq917
g4HZbkkLddZDVUGWrJsPkwfmDvHgSGR3r6PMhodC60M5wf583/tzz/LCRAicZPNTHGcd9UJevhdW
uPBXadjqVUv6STNmH0iXIOosxgo5hn37bBiLfkRyzHYW+L/1Vvm18VXiRN+2mdnsPSKZCvSsJYS4
ZZI0PX1gnVVATAYhgPjsCmR8YxgW26CZWYKFGswFnRwBCE3H++UBInydq0nzZGmxq6/ivSoebh0j
XQlYkH4N+ksMol6NWfAjpOAf+/A0VSGv3/Sraaww32f2ivLUPBZCoevy5fdWT3sY8pdgCHgZa8zO
GVciquhq3neBn2xnVyE2dur+QFxd/9aa9fiO4kJtQmLJXwyyb0/1XMefBjUTaJShQsSvvHDH2+PC
HBj9W2cpm5PoXfnmB/FAbeR5h9qkpB0cA4FciH4YxLmdmftwIVk0qojmPrVVxRHfZjLc2YizMZXW
bUapXwfbGOrHp8nS8qp982AElLH/lQkra06U0sVLQ4m0IXY6vOv1Ur6Cks92cxpnQPSd6V1UKchj
1krWuRxmYMNutTwkhjEeC2+ZHoic1PAbdEGoBJGHLJ795bAwqXgMZajekzkm+0HhcMVPgqFz6ZyD
P7tyIwrNeqqHg4IhsRGboSdqwI7b+qH3ejx5Qz2q7+aSjBejYqvMVt7tboVXi40e2KVGEAyDt7Jz
2p3f2T+yogqPbgoHCVtq5pyD5Gq9JATzhYOjJw+RgMF1Y3gDBsHFJtTRtrfGPMvXwSuoXBe/PFd8
3DHOlfVdrEbvrsTHCq6hW+Z1nVZMZfHudGdiOZt7iuu8iRxcHXuV29dYEC7RR3bPKkTf7ZUH4LcE
t1iLesobalikjoXcS5vha0gXc7ITK1m1JQJtYRqIEslXXc1dkby4eZDtYgXMPgqXMT/oSiCr6fRy
lJRnx7Zd9Ou4OOMlpAp9APrAbbLkzou0J1wko5V/JP7AXRTr5c5bvIYc7cZMTsrNrduqGzE9WRWY
hbz0DmaDfQ8RENoKZObCex9dcAtRWDjmO4LComV4sExf3GL0mbXkYcfgoXehkCWkgSDw76yNUwd0
u21sLNvZL5pb7vHmLZ3i5mX0W2+zNC6NQdDj+wvs+t5BZvUs/MI/BrB4I6KLPDh6tsSCNlNiIdYo
2ojkkPEVlQmWdDNP72N3sneqsxa0jboQb4sVs3Lu8Cf3TVDeGEh5bmSWX/3Bg9tu/DbOz2gdE97a
4L3RTEDS3MCfOWVbc6YH5+9hrWzYdqPtMB4OOF0LbRRoWa6zB0vyLiHjt9bKKOUzOS7tsS4IGNsw
Bxcfhkt/MS055VJYCLyRvtHKnplVw3Q7Q5/B35ryFjPCUxbn5W3mevyw9oSVeHIBj/8caP6vzX+v
3+g/j1rBZsNhzPnv95+335P0vXyf/zjZJU/l1y/8u+DP90y2nlyKtoOujpf8dbAbhL+w2IK5RsSr
/9uf/E3wJ35hFwn+CRg58zdxHcf+Nti1vV9M4LzQNElhIGIaXtNf2HlSYf5xsIvgD/HgFawnAjBC
jJn/ONhFwdAHnvTFXoXKTfY2M5ZrgtTCUW6FWfptKsry2Itpag4s6YYn15qDZCMogpctXC7nuc1z
eah6QdRbI4pxQpBhUJ57jF3bnTRS5znsfII4tTbvpWF4/dnxKvb/PgBPjOCum4d71O4BhNY5aJsT
p9B0mMHErjwvSZNNEPfJpfOIuIbgWfZMiSzjElpDexMM/vAKULMksDEIN5bJPdtWwaMJcxSJuHlH
hDaKWIA2MHy7UX22ZdvoFdoryXTCTZKTmZMaRddoLScv7RpiATm2I3gpcL6WUu79QVGt2Zm9j72A
SDhvcTDmzkiEXAwNlTFT5spyFg86dbiF6zDYaavQOObKcJXPcowcPFYbB7BrVA5hxQpRoPxgU0pE
e6AHfFUTtV7b1Y9WaDQst0D4ko/Itts82XacIbmq9PjQjqWY4Q8h6Tq1WY87MQ7GEaC7LvH3hRXY
h3VnxVOzTgx6buyECJC3iTV3bA7H0LAeFssL53uVIOl+sFzaXjjAbaz2RW6oGOtHYC2HwexFfoxH
HTrrOo+tcTMMwlvoLtLylQC/1nsIpMK7bi0sHVCQAc9ZMallZO0s3ThsY9GNO783029m3ST+SjYU
AJUarBcvZvwJIylJruDVHyFW1MHQ7dmuAvtUq7kpIocmxGCO9uoLuPqpGZ/1xAUhWt0zAZ9keOso
vZZzmz0QfGduBUPDqAagij/dM/Wuc6vum0PJsq8RZ2e7DCOmtS5rs10XyLoAgVLsRTPOunktwYM/
McOZT+SUQg6bMtgLXV8+9ST0rVnFUdigR9sxN6yPpo94CW50sjGzgDZmDjfoi5ZLXGXWdmxrJq7o
+aLr6Z5VFib+YFgVddc9zS45fCmLunsjseKtLnQiox70X+QyjMMcWqc+w1nJ/09BqMuTB+lmzWup
9Yz67KRaFwuplbvZhad1uEHAbkGmtdFQQbHL8sOcFLohu3ZYy8FCHd8kwyEZdXEfBgBnet7bGBxK
jFc5IXKZakRPlPuLofVaKab5UvovU5bJh3aud1hxy00bQoWQzB2+ebZBdHzgN09ySLqdnw45v/d8
3ok8ad/8EP0hZqfhtunn7zWtioya2ZY4AuJ+T85QvhUgoYrXxtDiSdd4GlYWS4evzdyjxzelcA+6
HI3tNE0DkltkVcKwh403tsPWbFW7W0JfMw/xypW0gNiwATLxPSTlvgyNoyl7wQkjJ4owc3hlJYRC
q0vKcxIyVuuavDpiLA/x9bb4b/RIfPr/7o33+wvv/zMVPLfbFWf576/F9bt8r37Kggg5/JMa6Lcv
/k0NdNX82Cw1EUMj9Pjd1eibv3Al/k4oBLTwb1ej+Qt/wgcBeQrIXVLh/nE1IhQSDrcmikEAuVhU
/srVGNp/vBmvsFcWnQKsL4aqAKzTH2/Ghnm8divLBSKR/Rh8cecrb9eI8JIzEmBAZ23KGS34iAQY
lxxp6OIND/BuCL+mGuGGZSQ3aB9fikHsyDzYWsQi5ycg/8degxLyYb/E4y3ZaC8t3I6iTyifvV2+
KHTMqzpFvlA2+A6vI/St0HwteTVlrvZuWx4K4TwI5d15wtnp1n1wYwtidmQTgIR3bTs3IdT89ikw
mqcFQEbMdeum9aqQZlT2H0v5NCew6+Sy8yax9V2miE1wGBJ5shr3rnKnl8aBqtxXZz5eG/rZXSkF
w7Aeilx8WYixQ4LrXihu90rn9zJ2CWNIrzYqT+2XmEkcW76HPvH3DpACmCrj116FFzNQr7nLrywx
3Z0TiwPutA0d9KfRO+u2kSeXE+h3T96/Elpd36TfC4h+vok+qfAOqjOemiv98nd+hlkqm82k4RLI
BZuH+4S2mdDz9t6b53tfgXVPU5Tmi78xCBcEKvDrQcHnF6zav/gB/sxBda+qMtMXpgANfSVt/ole
yFyCssDO4g1Rkwszt1MwqO1klharZc9DK2/fu3EhdkO8nIHevIxV5pzQwRkHKSjU/ej77PRqu6C6
IhPWyba+FctNXC+nqVT7oS2YBQWJcTBROcsFlZLrlXK9q/RMyDn2sCjQ5UYTwhJN+LrqOvYADDg3
7URgUEpRtRk6+3PW8RzpaXkYzGy3dBmWVtv64rT2DW6H2yAfbqo2pQFpm+Tmrx+kt9mnqrv6R/8T
V/f3RuBnWfuP//Vv/6n/wO6BA423PaATcK/nkMcp97vn9p8kIv9aSPlf/7f69l//9jD9l9/iHypL
m2gBZIzgE3x+jL+1HD/PVVxGHjLLa8fxe48R56oLJhsFJjtghHf0KX9rOZBZuq7g9fjrXF/yL3mM
/gno+dvBCgAdTgjT4/BPLQeNMfv8a955rJ+Hub4NL9YWrivrjyyCPwW+l+PS7B6dZ1Tg4UAwynPX
Zqi0vsQgrTLa7gCmu1nIr2E8wu8gvIZodmPrB2o3sqaAMndIg495ctcpnC4yvL8M+qudEYE7kwNg
Lk/XFbW253sCNmEPHxFdq2lV7mNxGRnkf0sBalXeaeYjVenbWsG+Ej/Yy+IaZepNAL0lDl7eS6JO
rbtRVutZG6synXdSFDkmhgFSHMYAY4ciW21xzCSreijvJqzTIVuySn+YYYW22nyQV9tqlpC66jl4
RTsfQlr12Zf3IsBGMYxFT/0HYxfhdJm2qP4wtNpnC3RdUi4Hx1HMEuy94cpjYYpyRSAXWYrQZ5vm
vhtI224TFDFcPCI3zyXw46nJ88hw6u/e4CJVad03k7KVt2lDcvWmxtuVk3ngdgWTwxkPNpweoTCz
drdO1p97Atqs2PksfHGean5WsOU4wS2bKnJ+rpm9IPXYJLR0Eat/yE+C+laMvCpJBOdEAgFs2WNE
bpDdtSgB8+l/gBlbP7HSfzjvfx63BIVZVBVwHf/0bBWj2U1ZDW1hWuQz2+R65brdeRq9Pa70jWfT
DZS+OLKo3ZXNvSennWe5N73EWzCbzogN6brIhxx6hTsUhrnNBuhTeYH5M3bOzlhTsXpPjusRTp13
69bJbtrqxhzcnWqqG2vmmg82FWyLJlsePPbapIBulMU0k7ewmbMfLqANr3hjOL+NuXEyJbcJZDEM
qCvFBdvqa+/VkauG7HLCF6aMPcD9s/LUdnTc82yGJ8Esa8JQFk5yJ9P+kjcIYixByXx0ra/C4/pd
hmMrQDXVGlFWnTDM8qc0Cnkqixnt68g1VN36LTSeWEVIND5kP+/LkiRzDXlvAGZIQulyWojLDIL4
fW68bY2pS/KCuMVxHxvWfOS4+GLbyV1eXWylblXs7jtLX6rp65J7001jz0igKst/a2MHaw5NpAEP
Nm0seggeES1cVIzhvnXUN/ZFxMjL+T6ZIVfhT/bWIZ3STavbqBHL19+drv/iUv5z1NvP09mhJgD/
ieY4/Hlp/64qWGomzUpX2Ajq4ntiDF/Iq2bWaX1tVYr4Vh0tXz2y/LpbhvE+IV07By2FnCSyWNtu
+9Y/FQBU1uz1D4Sr3sPJ4+zqH7sgRO7VF+c8HeHdV//D083u/k/VDFUyLg6TA5y/AhbSP8nGO5Yr
DZPVeNP6ysdQ6Bxj8qMXr15NAwNiNmxRXKbBrudcbBKBNZtDqgVwhYR7IiWlTUtiFg1ABMQZLfDq
fJ5ZCA+1nTHrAJ9tC3Z92fjEwbpzyumc5cNTY1jPi8NeVtnfEm96kvhWmAr3jKJVH2Fy5hsLSJdo
cDgaR/sHnC9saX1vnBypWaIuTU9vqh/TcTzrYLhpBJPxTFSoU+HuChF+bf3FipxivABWvh9Ld4kG
ryHOOk83ntNcdG/8CFMHWFomfgijfOpE/krq8E6NXbn1rB9Nme1SZjFhxU+QtAfWaNESkBGcei9a
Yr8PkDn46kOnxmHOkCtIveks6lC9MkfyxtjOVdAbcADie502LK1vTSM7dz23B0wFLDfh3rCqIkoH
lB5saFuTbU3lvi5F+5xk0/1gs58Zh361GPAcEb+0ibknRfrJS/XeTBZYxflnbDZPZdofB9thH83n
Pffo9oNzUpmHutFn7ZKTVgZP0rLHaJCCMKtwE1qkSyTeNknNLW/9ybQo58h+EVP2hazRPZ5w0JzN
yptvzfrUx8umm71tH5ar0kcj073my9O1/kdps06Hm7ApDmheviAHznfkkWUrBj3btpK7oFg2qUYi
pJz+B1Cs1dSL84Amo1X5W4vhMAq7nOwUuzRXi+O2US78HtCm/1AjWYNq1a4rpTUIkfGceTnDNneM
DLYhgTzERvjF7coI5c83itUtnLTqWoueyFDkK8b63LfF3iZPK68ZOGjxWCT5jWvjSVoQTrdsz1cG
JXNs9GtG/qDa9TpOuoqb6TW3NfagaS8H5Pn4jfAj9AzM0+o16bzTpJyXsg+g8opXb2kvkxz6DU/1
oY39H4vt3MRDyhanY91SWsnNPLGHGnALrxmVlRsSwU9Fwq0l6nvZUl74ynx3YQhubK0ea2d+J7Gd
4eLQv5qlA4i2YoEHwuSs3P55XILjCAuCyRZ0seJQ2N6L8HEp9SRP22l+sTpBkOZwY8JIkjgfIfFB
PiydvaGn9WSaZzzJ68KLXySrzkAVzCzDRzEYt0nxxrIE//SwCuP0rhuzB8y8m5mn3c2bH0tmA/ed
oSGFT9N83fqDZuuXg7Lax9j4GAsWjIv5dUroxOxpi8f4M0c9hGpgRJXpPcbhd+lzZYQb1wBze9ew
wXfuq+GRudBZGZIBGRZWB8uqTVRr8CynbgU1b1Uv/YrJLmKRCVrm9yKbaUOCTdG9+uFFeyk+RhdC
CtvNFGz/25A8+YnciUABxXgwpMIKiRtgsHlcDCS+j5OdEXaynMy4jFjTgUid9xmDI9JoPJZ2oNhA
FZL6JO4t/YlKheWo89oPQSRmPteF/QoxFXEk0bQPZjIgni/SL21sFzDivHWSfejuasL9MeU1k8rw
Y3KcchuO3QfOt32mkn2RWeDLckbOYQqLrg7XM95hlCt6bc+QQMIaZA9DrcgYQ0ypiXwhfy3ZTPbs
fjMUcL3AIMfO8YOtrpcbT1WXNGn99ZJbl7Aw3up5/lIXy0/X7xL3GCeJQlk52IYPSV+QDFgGAG0F
cWyjrj7rYdkFi7/vaVmFzNTKDCinknR6QkQGM82ENEIggcz1ey8oh5HUCh2jCEV3uAj/Q47jMdTp
d5g3l7BCCdrmNoLoGRxvR2kSxrLYxD6qyyvfPh/7S+kslHbsRhf3VDfOj8LEwmHtkl4cUcKCkFW3
TB85fd3btPWYtfe7gI4RtiEhDcpF5+VqhHy6DbN17ylSs9yw38BDmqP/ky6xXfoDZVrjhecC+VBE
BXbJTPmqrnk3skZHlnTxo5NaR3432SYOgVvYDW1q7fs9/hIcqKYR8E0A2/31lvRSS/715370P7DT
tBhOBeRO/j+5FKs0fe/7rMOkl/5hIPePL/7NheD+4l7ddNepCTmqBLj8rXMMzF9gr4chMVBI6682
hH9M5NxfLJMx3tU4R30Cu+LvnaPl01QG1wRk4t/wuuEn/AvLKv862/vDNEcE13x1dl+YIZjz/dkO
Rg7JWPDviZlVndpbwOtqBXOcBeocVgvm32bp8g2BMOxAxiSec+reK5OT1e1kRD0yBmTYwj6h4bqy
GeuGUNpYtgze/fKpyLRx8a4enWRCGyNkld4o6Zs8zR583m4CGeM7jP7QBqbfMOQuKUaiMkiJcSK+
NJ5E+cLDW0KqJPTtJrEqdyT0TcAYYLzyIKZa2thcn5LBmakT9gRocFbZo/Q2Q6bUTUr1uJoYRNrb
mYl6sYoniihOr9nQu8rW7V1Wz5iQh3Ixn2IvK1+59pKn2q6rtTDt/ANjenI7l0Rm4Vsfl4+kDj1o
d67PyQm2RHNnkYdb0LraIbHAZBCzbbcK8i6Jxj5PXYeTbinyTWXw26ns6SaBr72xZErqsaNY+8CP
AOBNSMRSC+sjyAKgB1U9wOHrg6w4AewuPrQIlwmTRYn6pzaSZ7TTzpXAFII8zXzDttaJPVacCCYW
Zadw8QlkE71UYh9z3gCQI7W7Yg813ky1epmziiQtH0kBbKquoknHR1KvlgmRdeouhbN2WKTeDkLn
71nlyu+IrMyQunCmw2+rEQc9WhNYwiGTMAyXuKUgrxGCFI59Mq1ElfQRK7Ma6wWMTfBDOjxOHI9v
aRd3PaKrEtkSpRaKTMIJwKYadfrKbgYwNWOUdO90fB9rdirmEEpTcRYJjBNuXwVvsI5VCCmaKKh9
mZrDNzAHOt06dj2BDzXCnT/4swfLVMwIu3DNRL6D7HZT8lg/965jn4ssd0+xGLpLWqX1e4KlgvFC
X7XhDcNVBzsmGeyfrfTmty5Ma2sNd/HnpaiarxYHfxMtlvCKXZ5X6sli33x2XYvjfWl0eMrZUZ1l
2rZtFKCmtVfhFKgH9oPTS+deb+NYmsZ3Uoc8DPiWpV5dv5AfglJoF0zMVfHnh/rSVZUDLYwGmjj3
HrDRHrsoI5LRSCuwKdQJxGEDDGEZzGWl9UsodPPo9TXTC6u6fm6Ldu/DNhhXboPNgty80FyDAZ3a
VWzaxUfCh+v6pTHln6vKst3TfuZq444iQMOViXOJXhyfoltO5peknc3X6zpuBuFSLzuuNd7AYKj5
qZ058Nhst8TDdxgLrIjMxISwA1S9SSy+x6W9vOlk2ljAZGlcnM96DHF7mkWuPjx/kgAWLHd6m8a8
WrdDimXQ6PRl0kNzSgMn3heeax8rWdJye0nPH/sZC7V56r4snQ/TJOl6Ag8DXD351EMrNheBYmPG
Vcu8oKIxd7i3oRfsCZtBEDcvm5p2j5k09OGGSRVmUWK6FtuPX0Ib02PV0+ISdBOKlWExxY3mXjXt
iiVju06Xig7bXTLTWkk9yf/m7sya27a2LPxXUv3Qb1BhHqrr3qomKZESKYmaLb+gGEvCjAPgYP71
/YGSHMuxndzI1TfdeoulgAAInGHvtb4lDnUwBRnLzhI5elOEN6MThms10ZLgsKwNGPBISroPCi8K
2wHdIBsrKcvmPjPikIWZUiuQ/6ORV3vMrHJLJSMbjoCMY/LPRtZ7GiS0WU10IUhIlIpnZZkMiLty
IY7rTMoPcuJl4HJ9SLI2huNQMU63aWqvMdlMiIMGLdoM4/ONWusxsU3ER8+8sG/vTD+oNoYfhvda
68RTXY6VbqPDJeGB9cHcUtBX8eSWo/NJgv5aBTQU1DLCm+XmrThhKrGSeRCn5YOpBE4H+BKs5ySy
6U6jpgnquWcFg0X7nHrOXJGTks7sYuHi1ihtZ9V4bKhBlQeagY/Ik4+DiX1o3vXOTIwIowOzzVZV
VpUnvh3lKBxqRZ1FBclBi6xLk3qpS0OGAJjpm5uRXYOfHXPQgCRYBOzPUtvCktYY+GRHqEwoCZE4
PvWkpJ+oNfgzTUqJynnsGZy8NL/KFV43ooIiyNFdWd5HuKVMxPzolOui0m/pb/u8dGWib9RQ6Dde
1ZYfCOJzT9w4DehSOzWiYbcIjPOCTKxzm4LwTYlkitsd2zw+Doxmgw6SBrtMRu3p4NRA9c3eDG4R
XahEPgBTe1JLVXPXnGHIVrYFuApUbnDv695VMa2lujzlvbWylU8BmIGhs+xrxqZq02ZefNb5Qj/C
9E0QrA9rhQjnCjBeqkRoIdMx1Y6UUkSbePCduyFWqXyKHkdd7KlzNAjIwjoRben0IKgaNY2mCXsu
TYTlbROoyU2B/2ihAdYvVMe4rmFobhOidBcNjptVaWXqNSJI5VGPyWjE7aE3WE0EIlU1hiASEiZ0
namBs3VEdC2Eqmx9MfgLimZsiIDnJlslxmYVmAWswA6DOKZxD8rqYaTmhGaTAko9ZnDiyRWfujTb
0ZwaxY54Af+oFw37+NZJmrkcRUdkAFymOmDp0Kbd+CkNYc0pkLCqed6I8FzYqdxkBex1SLLRx6iu
7rMiGJd94/VLP4Ky77AP2PnNgNvC7ZJLKo35EtDJuALzmx+VcLts8PK68pw2PjQhSRK6lHp16lgY
BdOwpWZE96DHRJ0mWnqEM5GuflAwuEgkcscY2etrdH7IlpUqxNuuVof1hHjJnCCO2BGRhatK01ia
DEBziIjttcXUckGChBEQeEn0C2hzgCRC7eRu1OLu1JUwuODEyPC4FexdA7XVr1SzKbZsQ+MW27rl
bIAi2VeGFQ7lPDUnUqg09GXs9u7ZMKpBvc7xcEcU38P01I7J1SoGz79vhiS5rB3Ne8JsZjjMyiwl
aKQWsFi0MmELrQ2VQqEkaPJ0y1aUco5l8BXPtIzU4UrW1PdqUwx31CG8GbTDYpsUxCLPTOmgXjWk
ZuwoZgMEquMgvLVNSfego72nED1ZEa8TxONCkmDsLw2EHaTJRM3QHXvEXAsAZLF915I3jG80ai+d
oCxxC2XaeaeHejmvLYnovlEYHkimCzAxpvV9MCTiohoCxYMh0BD6i+lubYcJ7+oIJnnjDAaoSwQy
mFcMpblgAUu5tPTa8EOo1fB9067F+0pCjnGtxn15B0O02FLFAapkV+OZ29hBS56LafYLiyoPa8Iq
GjN8es6DME0kHQToDmdK6+cnXpGrS2qdfTuvKMcdOtKxP42ji7PIZbO3qyGKDnNUW8qhORTtr7Ge
xu6RZ8gG3UvorWIMmxe0M7Tm+SpLE9RpARbh3mudayOGM9fhRLnj5TRMlMN5sXUnLFtYZjdWkl6C
do8WfRrIjZeFcAMMHzd8YrbKMs8sL5grQ1EvcgP9G9V727srNIAy+Pq6gP6oSQzYjOawcRvbfrnx
yBa89ISwLyGjIhW1zXQjg4HyNI7jmCaKRIU7jOESohxJepSErLPetVsSK9K6/+giZR9ORG+0wyrx
tDY5CXOd3oodBMOqBq3xyU8DSJ05HZlZDpuRrNHCAfipV653lpcBoCNmrkeF+s9jEPhVc9jGyUif
aqRDvrCzqVZhtUakL3XhRTcUF9AHizT+MCJSv1S9DL5rOwiPuS1sb7XECy+dQU/P8rYZt2Nk1I/G
fvKtfFpH3Hg05TjhLodwkL8iwZanTk7kSdW1a60MAnTGWWvvQhGV/SElyBB2q09O5Fy36TG01MjO
3QTaA9GvYHHDCLPWXKYTuVvNzSQhzyYma74tJYNGKQAZpY1ufVADrexnTVlLEmkiinwlTtZPplIS
fyEqOKJNJS4mD+Ad2GTQoKXlrVJCtG5bTR2IGUBZd4zRVWIS73oRzbGKBkDTzVE5TvJSXekOGJSk
MgZtZg0TcpxNMu2tqm42UWjga0pst8YMpJFIxZYA+XjV6auiV8tkVvtEPWhWyDp0aOH/hQ31kIVR
TDy8GLQYsZcO0nZqefIky2IKkC1G7RRBuCa2EtXTqkmNaXVD8MXSUmW8ci1q1TNIr/olmFVz1Wl2
/qsrxuzjtMuu+QQjSxeNaShXalM1W/IjqjtoeMNxohkZS1Um/Dl0QkrymrT4TauyxFB0sZa4MTb0
5cCcRRiq/blIxeQbS6twhdM9ONdFxiUkCUhC3oc4vmi87KmqEcrwupBAAeJwq1TRRD1LGzGvRsta
UzXSWgLmFRXmq+9RaIvHQ9MddRPiRGMn6xjBYTMjzoF4rAhCy4IikDmhyuxiJWuMd62VRwpb0xBV
FuL/zFpVteSrYRmvZt6wbq0OnQsz0i5CT2rP88iX/gxSJF5hOkIpnVkcw1R0LMIQx66OJ4WmHbaz
KnZIP1exUILOC9dSBy9YYct4yFzNBrHaY7hgGZkVh04TVu48tZPo2EtYl/VBIk6Dak+sJH0cNLaj
3mTWtKdA4ZpSw2cWp2qmVedmoxmbzK79la5ijWsTRx7nzYCTM8iz/hZRkK4us9gWx0rZ+mhX3Agm
iz2mp7lnlvqxgRw/uHOaHnp063SILH9WBeqNbuy7iog3f/V/ibH6Uo/6oer6JCS+JtxNkcyP+xTD
44d//MdrGYz/86WS5Rx4Fj1mBirPfVE6vMiuDXBS6Bnorr0kCb4qy6wD3SVeHWYGixsHwc7nOpau
HWAX0VGWkSI4wTT+JWUZAa9f17GQI0FxdVUOh/ZtHx/9Rf8Rk3Qc+MoADlAzx2oOYRoKguYRZABB
32rI5MAHfMecpKYLWdkoFwqZgCeE9RhoC5ZwCK78omyvOrXzjJlj1bR8UiU7dftmGjHD+lKwOuVV
E3TZ2TGxnhnSaBU2Il9zQhnJP6xAO4/CCWR6t+s3tlCrNcj3PDq32BbBnMTjHS1SQBCUwRx8LSR5
Qksw8xrXzpgNAyOWMxr6IcC+3FsKJ8RmK6jhUKGCCgKpOyZTFKGDRVoRjb7LtrHKVTkoTrLQ+vwD
5Kvemze+RmFEknKduJI6vx0YzbUjbfJgKESn/oz2nb/srAK1AVJSNs+0qAzq/3ZLXc4oHXEUjR31
aNn70VmEbwfwQVia2SJw6JufYIyd6PrENydoEhLfWZEJYagrc8Q+eOhXZoRXy+7sfh6FufKRYpbn
oSoeoo2AVbErsybaSJ2S6awSwonWvc6+fUEmbU2aNoQGm7pPBbtdtL77IehEc5/qSUe8XlOLRx06
zxP1N0UBKFHAUxyj4bSHuIqg2fKgdDTSYx6xij5ZaYrebZVRaS/Q/2afjCxUyACPwyA9HMpO+SBL
cwDyTGKhWJqltLeKbvmkkpnkK+AMasdg7os2vRZG2g4ztVZrstRHuxBM1q72ZBcqLcGAZIT70SEU
/KhRSo9usTMCr4wwTc7DoiJiL3YSuPsNDbu1FhXFEQCTdqFXctryK8U2bCt877WAIB+76lmJcFqh
wRtn3SK1LHo9WIp3qqxxrbax0cxZLACJKTAGKwjHD6HVF2zbC7a5kdtSnhryYVmbpTgSwAeO8Gz3
d87g08oMclwBViJv+0JEd6YXYy00RrebQ8EBNezX45Um+n6bBxRNzJplKR6/7jyGZUCPwYqoJmHx
b7TUO2o41hL/NNR5jR2SlERZon5Rp4KMftiNlX44KBHM3ibA/4Tj6YT8DLHSs9A7yg07Z4oPs9tK
o6IgXOOG7EOqVLbew63FK9iuWzzTuHdJNGGjyz7May3jmGgNeBRQaBYR5Jw1Unt1QR9juCmCvEDT
2fQnRp1P+/GxnZeqzRxikyAx18j5ZU2uw0zULG28MPTWXQw5wSw868aywPBYLEJh5U9uZ9YXjV/Q
nW4s7WoMuvGWsp29AhY/AOaNSwf7AV3/25T16Z0p4uI2EXXzxLwZ3zqaRX/IhfOccOxY9aNuLhM6
voi4y/tSz+RFnpnarvN81AWl7nhXOjFI8zxMI3UeZ43FBowxhXSh2IgRGA4jhHlb33VjXA+zQpHm
ja6XAWkzcHtZa2YoU2Pn3K1A98ehIg+BLvjBosUycGm4DlWvItKOI1Y2D46k2zMT9NhJElGs4Tx2
cnaqnkpvU49K7XZ6EK6N0RmfQqfrioXbqenNWKrOxZD109Ydtk8f1lk1dyyt4zqZxhcpzMF7wwhC
ZdmYfY7AJE39M8BnzcnAGHHp91HwmIVJL5As9cNdgi23nkmG5pUBqwtllOHTBasEK3WJzByfSKLb
17g6qJ02DTYCQMnBZZUF+c6uTN7+lnUlTVpI1WpEdvy88HKi5jS331h6UFNFGKMRWUZN0KCKXdKM
kB7orlrRr+MZqKqB9Yips3yExV2djKpVQnROK5uwUK0ZVyn1zBKtUdhsXc3A/SaSyX9rWyQEurUu
L/ENl8sIzqeAy9PIK7IcokPbNspjyM322rBT/zJITfPer/LkhHhn/6PSySu1yPpNHDRI6gt1iC88
7PoZSV0JrnY56lQ2DHwGSV+BB8ZCoR9rFMA3Nu6607RM8L4j6gnPE6v3zjAxIZSIRwUrs0DWcdHZ
NBtXSPHqKxbl6XXYBsQhxlgN2jZw1pobqhfQdLqTyPTsTUpz5CRKmoz9HbEyh4BzvPMMHseqFb1F
zFil0P9pSH+ZpWoXKRQncGsesVqLrDmNiBI6wqDf2KEUF0EZB2u9bu0TigXZrpelt6NMQQAgdQRy
ItDSPWh1jU5GRPp1q0Xu4WjmzqFbhu4mqKriU+AH3Q7WHwiMwLBqYNdKAoFgbLtqZQ9RjPSEyNgS
EcATqQ6I76bVxoo9Pbu10lCGhW5J65j8FrGJu8Q4EuV0RwcDmIfTWfCuxmE4DsM2uVAcU6HXoLpZ
cURkBvOtW3jlmUf9fGKEWxnSOjQgO1BPPlaZTPcJ9BiaJzAAWXOuJQ3dU+Fil2T2dPJTP0L3lTfR
cFGBH2dmr2R1kQsnI5pUeJL6R+yQiCGZ6thClkxerZ2cSdkHR06YiZPQknDNTSPWHxxKJYi/9KZT
576B+M2zhs470vVWxU+ZRrfM2aCgq6io6dl7ov2YW4q1TlO3WHr42W484A9z1FWUr1xYUGCh9EZZ
p5E/qsdRK/NrIy8Nwi2gd6/HUlHNdZgjYRCFSlYeZZbjiMT7YmbJXJxAiwKiIBz9sldd/cQEPkLC
sEr0iwufAxpNtx1z6B2ax6A7U5y6vrO8UjyFbjveqV1lL1OaNcdydNkdjG5+6fmluXEq8mxmgy3t
u1qvUDJhx2Q5ZAUmQRhxVdinEZkvZ6lfJncCPNspC7bSXPpl3lB8kV668YbGvfdG2lp9ZH9Q0fEv
4VigiZh0mlFA/jzsJ/MaMVxyHFLpQeSKTt6c5RRVbmK7JsWySD0UTRQ+7vNA7W51hs4CvVdVEKuk
EblTj/hOiWfqV3qfhid2JJpjclDcQ70uUbL5pLI3BoJRjDhw16Ou/TggWYBbkZg20BInuXeHCvoS
G1N3Vfmqe2ZQH9QXpaa2j74lCbwhrJcIDPtQLSJY3Ybc5VHhrrqOx7+pE2ut1TCiBr9adl5Lc6kt
7ipsTcvWBFg0c1qXEStuLXXZKxLRoEiD9CriMbkre7VH5tuOK9p9bXaITDgCrui1/QlNAOIbRVPU
wSG1HPODJ+vh18KBGoKlLaIU16VQtJl+gDXSuSmAlgchCx0V3hf9AMqjhOg0lmTYLtJ7OGodN9Gj
cDPoTJ9Lf6rdjmGDQG9f0PWm2q4YFGVrU+6Fuuhsg6kCHO2LwWKqCzcmifbavlhcTHXjYqog46wy
VvFUVY5FUB0FasjGOWqNa9Ai/uR9GsFrFpm0TiX5xSAzOvOwyyr8ep5Klw8P+3GmqRRwqXJspVsX
C8XWzhxY7Wc4KH1IoGp3gfs82iRTOTzZV8ZrjTl21u0r5k7ZOZBHKKM3U0Fd6/tqE5RZlxwqciq7
Z7QhT6uRxSLCEMu+tfYl+nFfrteHXCGfiQUiBfPKdhfGVNsvGeuYwQbrsnA6PV4YDavEI62EHYfq
yvXgTE+dAqLcvDNUv+E22DcSaJ0MCH6GHj751GmQtmbfuJgVNyQu0ogw89a+lbawLhjsSDnOSjW8
5wVWj4yhA+qQ7dsZU2PDmVocAEVoPHGeOri2wj3RaQk8wfPKagI2AwcnH+vNYwzwtE7SfRvFdGpJ
NM3UXTH2jZYsLYycUXPQlEUjyUmcBXQN2L6r1A3ndRBghWkkccHQ5C2deoip7IiTlVc5cG5A86zZ
FwUFhvPRSZt74djQMMp2yE8b0EIl6Rz1XMYKS5zBbNVzV9rpvUx6dmghxZfsXOahalD3KlNrYYUm
vRlSlHz6Y22PKVYlmdNY9YWGWUfwKK/8VvfufDivhAQ7Pg4aKHmoGbIGS+iJkppEYhT5xDmwR+1O
SsUMlrUN2tAbug54lR5EyK7dbLjIMFE2R2YszCeJWVAsizKrhiNfrZ0p0hzGDkkZPBzntWGy5UhT
MvWgcmgjkx7BXsxVwyXvDBGBxDP1CCdH1hqM/us6bFdVk+XrHrfUHcOSdWkLpoMo9r113g41ErNE
JqymxrtuDByFtl3UE+mBBXVehWoKvwcpsv3/rEQySYVwCE1Wj8N9leKieayGy0e8w7V81cBMv92K
KK+vxV/7ox8f6KU+8ocQU31S7Lzx8+1Pan/GPzpGuqujunl4pPxiHjiaauomy9H9D8KdVOTBy68d
+2DClEJxnizt/KBr5vO+uEffuws/vsDn2/njv3lzAajk8nr6Gog8zN/UjyYjwZ+5BV8d4bdboBPs
Y+l4ZCam+ZfX7k2mREdFt/P51vxbrn33QND55GKuok/1l9c+WYX+5NV/dYwvrt4+oJJlMPy5z1eJ
POzLm2AcTAZKGAMvDwA8g7/XTUDTNnlTEdT/mafg+/fBPSA+ifwkGyr99PPVi+AcaJplwszTnl8E
CoN/r/uA01V/PqnfBrB/eTTwDuARqxN/+Js3gdFABUHHy/L88/d7GHhQ3zsk6sYBkVyaQ9XrmzfB
pdhMbqthvDwJ/64h8atH+beSuuOptEt5j9/3QugHtoeDGtnmN2+DdmB5WFp4K/6mLwT5EvbzA/qO
F0I7UOlQqJQm3w6LLnJbZ8K5PD9t//sT4ne/fQO/Jyf7vu/eJpsOx7PGle9/3g6GSIrppDBpvk4K
/8Ir8Cfu1OdVFqqd9GG/vooe5beWYd/7g9eFxe9//7Ko2HeeWDm8+cNpufX82c/v0vTf/3xzn/cL
ny9++boQ2n/Oy//+coG//+g3n/V6Va//uIoeq131iXSO/Zrz5TTPdhlrNNzEIXEt22r38CjfysAJ
+3hdEHxzsfj5Kfjh8anZ7D4BRPrWRwC0/xkfIeUuez3T6ebr2mTd++1W/uM/3tzoL57fH505HLRd
9XqY6bCGpzPuvfewq101fI39N6yJ0f/uI0fZd+808B6DVcx7P+Jkh/r8l//cZcV//bLeSdQ1b+4Q
S/lpEf/eT1nvqpw9ULJ7PdRzL3e/IXn3sXkV0q8ObHrwH9574M0ukeHuoXt8LF4Ptj9th1XD6z/8
9dfodPcQDt9+TZ9XJe89/fOHiNN/PdH9W4SZ9Cd8mdvmofkUPtKXeHNw29AY99971tsmj3e/vh5n
f9akk/6Es77cxTtZoyd4c+znLdF7T/oqSpLozYBlsA/8CSPW9S6L0l/Odg/Nl2f9slR571nf1DVh
Xt+YJ17WBO89/t2jrH+ZPZKJkr45+2kR+PoP73l/GMwZsOq3Obwv+5r3nvuyiTn6m+3z53Xyu48t
3ryV03HRGb3/jjDxfyYynUWfxK98u8eSUJoH+Xrw6X2iPqNpUyHgvdfx3z9aCLDPZin8UwbKaBTV
2+XAdHBH937CDEv0afH9JOf94uqvP6Lfxr283vj9XDJdCIiW13/76591RjLf9FW/Hunl6NQ6JtHR
e7/q06np07xdGTzzL3/CIPdHeM33fguPaRi93oLfbstUAnrvbfkutOelyvQT5sP5pICLfmfofK5i
/YTn5s9YRt/5Beznmd13pXw/YS31h1LBd17BH0Z7vfP4m90D9+f1edwP0ibiNBIv2VfbE6cJecrr
r//6GPHt8eiv4Kd+eL3f2tJ+bgL8fqP7Wtz/1v/2dhc//cWn9HFX/fN/AAAA//8=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microsoft.com/office/2014/relationships/chartEx" Target="../charts/chartEx3.xml"/><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chart" Target="../charts/chart11.xml"/><Relationship Id="rId17" Type="http://schemas.openxmlformats.org/officeDocument/2006/relationships/image" Target="../media/image7.svg"/><Relationship Id="rId2" Type="http://schemas.openxmlformats.org/officeDocument/2006/relationships/hyperlink" Target="#Pivot!A1"/><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0.xml"/><Relationship Id="rId5" Type="http://schemas.openxmlformats.org/officeDocument/2006/relationships/hyperlink" Target="#Original!A1"/><Relationship Id="rId15" Type="http://schemas.openxmlformats.org/officeDocument/2006/relationships/chart" Target="../charts/chart12.xml"/><Relationship Id="rId10" Type="http://schemas.openxmlformats.org/officeDocument/2006/relationships/chart" Target="../charts/chart9.xml"/><Relationship Id="rId4" Type="http://schemas.openxmlformats.org/officeDocument/2006/relationships/image" Target="../media/image3.svg"/><Relationship Id="rId9" Type="http://schemas.openxmlformats.org/officeDocument/2006/relationships/chart" Target="../charts/chart8.xml"/><Relationship Id="rId1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28575</xdr:rowOff>
    </xdr:from>
    <xdr:to>
      <xdr:col>0</xdr:col>
      <xdr:colOff>1047751</xdr:colOff>
      <xdr:row>5</xdr:row>
      <xdr:rowOff>57150</xdr:rowOff>
    </xdr:to>
    <mc:AlternateContent xmlns:mc="http://schemas.openxmlformats.org/markup-compatibility/2006">
      <mc:Choice xmlns:a14="http://schemas.microsoft.com/office/drawing/2010/main" Requires="a14">
        <xdr:graphicFrame macro="">
          <xdr:nvGraphicFramePr>
            <xdr:cNvPr id="2" name="Order ID">
              <a:extLst>
                <a:ext uri="{FF2B5EF4-FFF2-40B4-BE49-F238E27FC236}">
                  <a16:creationId xmlns:a16="http://schemas.microsoft.com/office/drawing/2014/main" id="{CAE47BEA-4902-421A-BCA3-3A5429BC62C7}"/>
                </a:ext>
              </a:extLst>
            </xdr:cNvPr>
            <xdr:cNvGraphicFramePr/>
          </xdr:nvGraphicFramePr>
          <xdr:xfrm>
            <a:off x="0" y="0"/>
            <a:ext cx="0" cy="0"/>
          </xdr:xfrm>
          <a:graphic>
            <a:graphicData uri="http://schemas.microsoft.com/office/drawing/2010/slicer">
              <sle:slicer xmlns:sle="http://schemas.microsoft.com/office/drawing/2010/slicer" name="Order ID"/>
            </a:graphicData>
          </a:graphic>
        </xdr:graphicFrame>
      </mc:Choice>
      <mc:Fallback>
        <xdr:sp macro="" textlink="">
          <xdr:nvSpPr>
            <xdr:cNvPr id="0" name=""/>
            <xdr:cNvSpPr>
              <a:spLocks noTextEdit="1"/>
            </xdr:cNvSpPr>
          </xdr:nvSpPr>
          <xdr:spPr>
            <a:xfrm>
              <a:off x="1" y="28575"/>
              <a:ext cx="104775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104775</xdr:colOff>
      <xdr:row>7</xdr:row>
      <xdr:rowOff>57150</xdr:rowOff>
    </xdr:from>
    <xdr:to>
      <xdr:col>3</xdr:col>
      <xdr:colOff>266700</xdr:colOff>
      <xdr:row>9</xdr:row>
      <xdr:rowOff>66675</xdr:rowOff>
    </xdr:to>
    <xdr:sp macro="" textlink="$D$1">
      <xdr:nvSpPr>
        <xdr:cNvPr id="3" name="Rectangle 2">
          <a:extLst>
            <a:ext uri="{FF2B5EF4-FFF2-40B4-BE49-F238E27FC236}">
              <a16:creationId xmlns:a16="http://schemas.microsoft.com/office/drawing/2014/main" id="{76634D8C-E1BC-4525-8DDC-7C5C67CAF186}"/>
            </a:ext>
          </a:extLst>
        </xdr:cNvPr>
        <xdr:cNvSpPr/>
      </xdr:nvSpPr>
      <xdr:spPr>
        <a:xfrm>
          <a:off x="104775" y="2724150"/>
          <a:ext cx="1038225" cy="390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EA448B0-E45A-4F64-A55D-A3C998910B1D}" type="TxLink">
            <a:rPr lang="en-US" sz="1100" b="0" i="0" u="none" strike="noStrike">
              <a:solidFill>
                <a:srgbClr val="000000"/>
              </a:solidFill>
              <a:latin typeface="Calibri"/>
              <a:cs typeface="Calibri"/>
            </a:rPr>
            <a:t>323</a:t>
          </a:fld>
          <a:endParaRPr lang="en-US" sz="1100"/>
        </a:p>
      </xdr:txBody>
    </xdr:sp>
    <xdr:clientData/>
  </xdr:twoCellAnchor>
  <xdr:twoCellAnchor>
    <xdr:from>
      <xdr:col>5</xdr:col>
      <xdr:colOff>66675</xdr:colOff>
      <xdr:row>7</xdr:row>
      <xdr:rowOff>66675</xdr:rowOff>
    </xdr:from>
    <xdr:to>
      <xdr:col>6</xdr:col>
      <xdr:colOff>228600</xdr:colOff>
      <xdr:row>9</xdr:row>
      <xdr:rowOff>76200</xdr:rowOff>
    </xdr:to>
    <xdr:sp macro="" textlink="$G$1">
      <xdr:nvSpPr>
        <xdr:cNvPr id="4" name="Rectangle 3">
          <a:extLst>
            <a:ext uri="{FF2B5EF4-FFF2-40B4-BE49-F238E27FC236}">
              <a16:creationId xmlns:a16="http://schemas.microsoft.com/office/drawing/2014/main" id="{E430AF4B-9EBE-404B-9D58-C3B3DB344AB8}"/>
            </a:ext>
          </a:extLst>
        </xdr:cNvPr>
        <xdr:cNvSpPr/>
      </xdr:nvSpPr>
      <xdr:spPr>
        <a:xfrm>
          <a:off x="2581275" y="2733675"/>
          <a:ext cx="1038225" cy="390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7A16D08-7806-4C14-899E-63E99F14AADF}" type="TxLink">
            <a:rPr lang="en-US" sz="1100" b="0" i="0" u="none" strike="noStrike">
              <a:solidFill>
                <a:srgbClr val="000000"/>
              </a:solidFill>
              <a:latin typeface="Calibri"/>
              <a:cs typeface="Calibri"/>
            </a:rPr>
            <a:t>180054</a:t>
          </a:fld>
          <a:endParaRPr lang="en-US" sz="1100"/>
        </a:p>
      </xdr:txBody>
    </xdr:sp>
    <xdr:clientData/>
  </xdr:twoCellAnchor>
  <xdr:twoCellAnchor>
    <xdr:from>
      <xdr:col>8</xdr:col>
      <xdr:colOff>38100</xdr:colOff>
      <xdr:row>7</xdr:row>
      <xdr:rowOff>47625</xdr:rowOff>
    </xdr:from>
    <xdr:to>
      <xdr:col>9</xdr:col>
      <xdr:colOff>200025</xdr:colOff>
      <xdr:row>9</xdr:row>
      <xdr:rowOff>57150</xdr:rowOff>
    </xdr:to>
    <xdr:sp macro="" textlink="$J$1">
      <xdr:nvSpPr>
        <xdr:cNvPr id="5" name="Rectangle 4">
          <a:extLst>
            <a:ext uri="{FF2B5EF4-FFF2-40B4-BE49-F238E27FC236}">
              <a16:creationId xmlns:a16="http://schemas.microsoft.com/office/drawing/2014/main" id="{36BF1DFD-1BC0-410A-8C1D-1E4A08324322}"/>
            </a:ext>
          </a:extLst>
        </xdr:cNvPr>
        <xdr:cNvSpPr/>
      </xdr:nvSpPr>
      <xdr:spPr>
        <a:xfrm>
          <a:off x="5124450" y="2714625"/>
          <a:ext cx="1038225" cy="390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220F9A7-0C3D-408B-A6F8-64D1555D41FC}" type="TxLink">
            <a:rPr lang="en-US" sz="1100" b="0" i="0" u="none" strike="noStrike">
              <a:solidFill>
                <a:srgbClr val="000000"/>
              </a:solidFill>
              <a:latin typeface="Calibri"/>
              <a:cs typeface="Calibri"/>
            </a:rPr>
            <a:t>102208</a:t>
          </a:fld>
          <a:endParaRPr lang="en-US" sz="1100"/>
        </a:p>
      </xdr:txBody>
    </xdr:sp>
    <xdr:clientData/>
  </xdr:twoCellAnchor>
  <xdr:twoCellAnchor>
    <xdr:from>
      <xdr:col>11</xdr:col>
      <xdr:colOff>95250</xdr:colOff>
      <xdr:row>7</xdr:row>
      <xdr:rowOff>66675</xdr:rowOff>
    </xdr:from>
    <xdr:to>
      <xdr:col>12</xdr:col>
      <xdr:colOff>257175</xdr:colOff>
      <xdr:row>9</xdr:row>
      <xdr:rowOff>76200</xdr:rowOff>
    </xdr:to>
    <xdr:sp macro="" textlink="$M$1">
      <xdr:nvSpPr>
        <xdr:cNvPr id="6" name="Rectangle 5">
          <a:extLst>
            <a:ext uri="{FF2B5EF4-FFF2-40B4-BE49-F238E27FC236}">
              <a16:creationId xmlns:a16="http://schemas.microsoft.com/office/drawing/2014/main" id="{69BFA480-4A84-4982-B89C-CB79ACFC8D5E}"/>
            </a:ext>
          </a:extLst>
        </xdr:cNvPr>
        <xdr:cNvSpPr/>
      </xdr:nvSpPr>
      <xdr:spPr>
        <a:xfrm>
          <a:off x="7705725" y="2733675"/>
          <a:ext cx="1038225" cy="390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6B24CDD-8648-418B-94E9-8F2E4258968B}" type="TxLink">
            <a:rPr lang="en-US" sz="1100" b="0" i="0" u="none" strike="noStrike">
              <a:solidFill>
                <a:srgbClr val="000000"/>
              </a:solidFill>
              <a:latin typeface="Calibri"/>
              <a:cs typeface="Calibri"/>
            </a:rPr>
            <a:t>275723</a:t>
          </a:fld>
          <a:endParaRPr lang="en-US" sz="1100"/>
        </a:p>
      </xdr:txBody>
    </xdr:sp>
    <xdr:clientData/>
  </xdr:twoCellAnchor>
  <xdr:twoCellAnchor>
    <xdr:from>
      <xdr:col>3</xdr:col>
      <xdr:colOff>133350</xdr:colOff>
      <xdr:row>6</xdr:row>
      <xdr:rowOff>171450</xdr:rowOff>
    </xdr:from>
    <xdr:to>
      <xdr:col>4</xdr:col>
      <xdr:colOff>104775</xdr:colOff>
      <xdr:row>11</xdr:row>
      <xdr:rowOff>80961</xdr:rowOff>
    </xdr:to>
    <xdr:graphicFrame macro="">
      <xdr:nvGraphicFramePr>
        <xdr:cNvPr id="7" name="Chart 6">
          <a:extLst>
            <a:ext uri="{FF2B5EF4-FFF2-40B4-BE49-F238E27FC236}">
              <a16:creationId xmlns:a16="http://schemas.microsoft.com/office/drawing/2014/main" id="{263D6815-E033-44CC-B534-98D8033F1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276225</xdr:colOff>
      <xdr:row>9</xdr:row>
      <xdr:rowOff>95249</xdr:rowOff>
    </xdr:from>
    <xdr:to>
      <xdr:col>6</xdr:col>
      <xdr:colOff>638175</xdr:colOff>
      <xdr:row>15</xdr:row>
      <xdr:rowOff>28575</xdr:rowOff>
    </xdr:to>
    <xdr:graphicFrame macro="">
      <xdr:nvGraphicFramePr>
        <xdr:cNvPr id="8" name="Chart 7">
          <a:extLst>
            <a:ext uri="{FF2B5EF4-FFF2-40B4-BE49-F238E27FC236}">
              <a16:creationId xmlns:a16="http://schemas.microsoft.com/office/drawing/2014/main" id="{5B0D6635-1B5A-4D00-8D70-BB187F671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276225</xdr:colOff>
      <xdr:row>8</xdr:row>
      <xdr:rowOff>180975</xdr:rowOff>
    </xdr:from>
    <xdr:to>
      <xdr:col>13</xdr:col>
      <xdr:colOff>38100</xdr:colOff>
      <xdr:row>15</xdr:row>
      <xdr:rowOff>90487</xdr:rowOff>
    </xdr:to>
    <xdr:graphicFrame macro="">
      <xdr:nvGraphicFramePr>
        <xdr:cNvPr id="10" name="Chart 9">
          <a:extLst>
            <a:ext uri="{FF2B5EF4-FFF2-40B4-BE49-F238E27FC236}">
              <a16:creationId xmlns:a16="http://schemas.microsoft.com/office/drawing/2014/main" id="{C09A6163-F7F2-474F-8872-64948CD45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161925</xdr:rowOff>
    </xdr:from>
    <xdr:to>
      <xdr:col>2</xdr:col>
      <xdr:colOff>19050</xdr:colOff>
      <xdr:row>33</xdr:row>
      <xdr:rowOff>90486</xdr:rowOff>
    </xdr:to>
    <xdr:graphicFrame macro="">
      <xdr:nvGraphicFramePr>
        <xdr:cNvPr id="11" name="Chart 10">
          <a:extLst>
            <a:ext uri="{FF2B5EF4-FFF2-40B4-BE49-F238E27FC236}">
              <a16:creationId xmlns:a16="http://schemas.microsoft.com/office/drawing/2014/main" id="{69FC59FF-3B50-4A49-9CC0-FAB806595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533400</xdr:colOff>
      <xdr:row>20</xdr:row>
      <xdr:rowOff>152400</xdr:rowOff>
    </xdr:from>
    <xdr:to>
      <xdr:col>6</xdr:col>
      <xdr:colOff>133350</xdr:colOff>
      <xdr:row>31</xdr:row>
      <xdr:rowOff>23812</xdr:rowOff>
    </xdr:to>
    <xdr:graphicFrame macro="">
      <xdr:nvGraphicFramePr>
        <xdr:cNvPr id="12" name="Chart 11">
          <a:extLst>
            <a:ext uri="{FF2B5EF4-FFF2-40B4-BE49-F238E27FC236}">
              <a16:creationId xmlns:a16="http://schemas.microsoft.com/office/drawing/2014/main" id="{F9A4050C-6590-46FC-902D-ED31845AA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390525</xdr:colOff>
      <xdr:row>25</xdr:row>
      <xdr:rowOff>85725</xdr:rowOff>
    </xdr:from>
    <xdr:to>
      <xdr:col>9</xdr:col>
      <xdr:colOff>76200</xdr:colOff>
      <xdr:row>34</xdr:row>
      <xdr:rowOff>166687</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1B7E36A2-0958-49F1-9ADD-DEFC2D2A85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381750" y="4848225"/>
              <a:ext cx="2895600" cy="17954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295275</xdr:colOff>
      <xdr:row>21</xdr:row>
      <xdr:rowOff>142874</xdr:rowOff>
    </xdr:from>
    <xdr:to>
      <xdr:col>17</xdr:col>
      <xdr:colOff>142875</xdr:colOff>
      <xdr:row>34</xdr:row>
      <xdr:rowOff>119061</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0515CDF0-5B62-4A1C-8DB0-84131CC646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668250" y="4143374"/>
              <a:ext cx="4038600" cy="24526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647700</xdr:colOff>
      <xdr:row>9</xdr:row>
      <xdr:rowOff>114299</xdr:rowOff>
    </xdr:from>
    <xdr:to>
      <xdr:col>10</xdr:col>
      <xdr:colOff>9525</xdr:colOff>
      <xdr:row>18</xdr:row>
      <xdr:rowOff>109536</xdr:rowOff>
    </xdr:to>
    <xdr:graphicFrame macro="">
      <xdr:nvGraphicFramePr>
        <xdr:cNvPr id="16" name="Chart 15">
          <a:extLst>
            <a:ext uri="{FF2B5EF4-FFF2-40B4-BE49-F238E27FC236}">
              <a16:creationId xmlns:a16="http://schemas.microsoft.com/office/drawing/2014/main" id="{47A5C2BC-3F75-415E-A3C0-0A118453B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66676</xdr:colOff>
      <xdr:row>0</xdr:row>
      <xdr:rowOff>38100</xdr:rowOff>
    </xdr:from>
    <xdr:to>
      <xdr:col>4</xdr:col>
      <xdr:colOff>542926</xdr:colOff>
      <xdr:row>4</xdr:row>
      <xdr:rowOff>66675</xdr:rowOff>
    </xdr:to>
    <xdr:sp macro="" textlink="">
      <xdr:nvSpPr>
        <xdr:cNvPr id="2" name="Rectangle 1">
          <a:extLst>
            <a:ext uri="{FF2B5EF4-FFF2-40B4-BE49-F238E27FC236}">
              <a16:creationId xmlns:a16="http://schemas.microsoft.com/office/drawing/2014/main" id="{19268245-B22E-491B-8918-181C07179CAF}"/>
            </a:ext>
          </a:extLst>
        </xdr:cNvPr>
        <xdr:cNvSpPr/>
      </xdr:nvSpPr>
      <xdr:spPr>
        <a:xfrm>
          <a:off x="66676" y="38100"/>
          <a:ext cx="2914650" cy="790575"/>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t>E-commerce </a:t>
          </a:r>
        </a:p>
      </xdr:txBody>
    </xdr:sp>
    <xdr:clientData/>
  </xdr:twoCellAnchor>
  <xdr:twoCellAnchor editAs="oneCell">
    <xdr:from>
      <xdr:col>3</xdr:col>
      <xdr:colOff>200026</xdr:colOff>
      <xdr:row>0</xdr:row>
      <xdr:rowOff>114300</xdr:rowOff>
    </xdr:from>
    <xdr:to>
      <xdr:col>4</xdr:col>
      <xdr:colOff>541604</xdr:colOff>
      <xdr:row>3</xdr:row>
      <xdr:rowOff>172018</xdr:rowOff>
    </xdr:to>
    <xdr:pic>
      <xdr:nvPicPr>
        <xdr:cNvPr id="4" name="Picture 3">
          <a:extLst>
            <a:ext uri="{FF2B5EF4-FFF2-40B4-BE49-F238E27FC236}">
              <a16:creationId xmlns:a16="http://schemas.microsoft.com/office/drawing/2014/main" id="{DEEDF550-5BB5-4E70-BE14-E666EEAC7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8826" y="114300"/>
          <a:ext cx="951178" cy="629218"/>
        </a:xfrm>
        <a:prstGeom prst="rect">
          <a:avLst/>
        </a:prstGeom>
      </xdr:spPr>
    </xdr:pic>
    <xdr:clientData/>
  </xdr:twoCellAnchor>
  <xdr:twoCellAnchor>
    <xdr:from>
      <xdr:col>5</xdr:col>
      <xdr:colOff>0</xdr:colOff>
      <xdr:row>0</xdr:row>
      <xdr:rowOff>171450</xdr:rowOff>
    </xdr:from>
    <xdr:to>
      <xdr:col>18</xdr:col>
      <xdr:colOff>247650</xdr:colOff>
      <xdr:row>4</xdr:row>
      <xdr:rowOff>0</xdr:rowOff>
    </xdr:to>
    <xdr:sp macro="" textlink="">
      <xdr:nvSpPr>
        <xdr:cNvPr id="5" name="Rectangle 4">
          <a:extLst>
            <a:ext uri="{FF2B5EF4-FFF2-40B4-BE49-F238E27FC236}">
              <a16:creationId xmlns:a16="http://schemas.microsoft.com/office/drawing/2014/main" id="{63FA43E1-6683-49F3-AA18-00A24733F718}"/>
            </a:ext>
          </a:extLst>
        </xdr:cNvPr>
        <xdr:cNvSpPr/>
      </xdr:nvSpPr>
      <xdr:spPr>
        <a:xfrm>
          <a:off x="3048000" y="171450"/>
          <a:ext cx="8172450" cy="590550"/>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a:t>Sales Dashboard</a:t>
          </a:r>
          <a:r>
            <a:rPr lang="en-US" sz="3600" baseline="0"/>
            <a:t> (2024-25)</a:t>
          </a:r>
          <a:endParaRPr lang="en-US" sz="3600"/>
        </a:p>
      </xdr:txBody>
    </xdr:sp>
    <xdr:clientData/>
  </xdr:twoCellAnchor>
  <xdr:twoCellAnchor>
    <xdr:from>
      <xdr:col>0</xdr:col>
      <xdr:colOff>76200</xdr:colOff>
      <xdr:row>4</xdr:row>
      <xdr:rowOff>123826</xdr:rowOff>
    </xdr:from>
    <xdr:to>
      <xdr:col>2</xdr:col>
      <xdr:colOff>209550</xdr:colOff>
      <xdr:row>24</xdr:row>
      <xdr:rowOff>0</xdr:rowOff>
    </xdr:to>
    <xdr:sp macro="" textlink="">
      <xdr:nvSpPr>
        <xdr:cNvPr id="7" name="Rectangle 6">
          <a:extLst>
            <a:ext uri="{FF2B5EF4-FFF2-40B4-BE49-F238E27FC236}">
              <a16:creationId xmlns:a16="http://schemas.microsoft.com/office/drawing/2014/main" id="{B1B9F398-9759-4511-AF04-44684E47244F}"/>
            </a:ext>
          </a:extLst>
        </xdr:cNvPr>
        <xdr:cNvSpPr/>
      </xdr:nvSpPr>
      <xdr:spPr>
        <a:xfrm>
          <a:off x="76200" y="876966"/>
          <a:ext cx="1351664" cy="3641871"/>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123825</xdr:colOff>
      <xdr:row>4</xdr:row>
      <xdr:rowOff>152400</xdr:rowOff>
    </xdr:from>
    <xdr:to>
      <xdr:col>2</xdr:col>
      <xdr:colOff>142875</xdr:colOff>
      <xdr:row>13</xdr:row>
      <xdr:rowOff>104775</xdr:rowOff>
    </xdr:to>
    <mc:AlternateContent xmlns:mc="http://schemas.openxmlformats.org/markup-compatibility/2006">
      <mc:Choice xmlns:a14="http://schemas.microsoft.com/office/drawing/2010/main" Requires="a14">
        <xdr:graphicFrame macro="">
          <xdr:nvGraphicFramePr>
            <xdr:cNvPr id="6" name="Order ID 1">
              <a:extLst>
                <a:ext uri="{FF2B5EF4-FFF2-40B4-BE49-F238E27FC236}">
                  <a16:creationId xmlns:a16="http://schemas.microsoft.com/office/drawing/2014/main" id="{DBADAA98-1888-4C9C-8618-2F5071AA9A65}"/>
                </a:ext>
              </a:extLst>
            </xdr:cNvPr>
            <xdr:cNvGraphicFramePr/>
          </xdr:nvGraphicFramePr>
          <xdr:xfrm>
            <a:off x="0" y="0"/>
            <a:ext cx="0" cy="0"/>
          </xdr:xfrm>
          <a:graphic>
            <a:graphicData uri="http://schemas.microsoft.com/office/drawing/2010/slicer">
              <sle:slicer xmlns:sle="http://schemas.microsoft.com/office/drawing/2010/slicer" name="Order ID 1"/>
            </a:graphicData>
          </a:graphic>
        </xdr:graphicFrame>
      </mc:Choice>
      <mc:Fallback>
        <xdr:sp macro="" textlink="">
          <xdr:nvSpPr>
            <xdr:cNvPr id="0" name=""/>
            <xdr:cNvSpPr>
              <a:spLocks noTextEdit="1"/>
            </xdr:cNvSpPr>
          </xdr:nvSpPr>
          <xdr:spPr>
            <a:xfrm>
              <a:off x="123825" y="914400"/>
              <a:ext cx="1233488"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13</xdr:row>
      <xdr:rowOff>114300</xdr:rowOff>
    </xdr:from>
    <xdr:to>
      <xdr:col>1</xdr:col>
      <xdr:colOff>476250</xdr:colOff>
      <xdr:row>18</xdr:row>
      <xdr:rowOff>9525</xdr:rowOff>
    </xdr:to>
    <xdr:pic>
      <xdr:nvPicPr>
        <xdr:cNvPr id="9" name="Graphic 8" descr="Database with solid fill">
          <a:hlinkClick xmlns:r="http://schemas.openxmlformats.org/officeDocument/2006/relationships" r:id="rId2"/>
          <a:extLst>
            <a:ext uri="{FF2B5EF4-FFF2-40B4-BE49-F238E27FC236}">
              <a16:creationId xmlns:a16="http://schemas.microsoft.com/office/drawing/2014/main" id="{F1AD3087-B2B1-418B-AD39-57EC25E4709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38125" y="2590800"/>
          <a:ext cx="847725" cy="847725"/>
        </a:xfrm>
        <a:prstGeom prst="rect">
          <a:avLst/>
        </a:prstGeom>
      </xdr:spPr>
    </xdr:pic>
    <xdr:clientData/>
  </xdr:twoCellAnchor>
  <xdr:twoCellAnchor editAs="oneCell">
    <xdr:from>
      <xdr:col>0</xdr:col>
      <xdr:colOff>200025</xdr:colOff>
      <xdr:row>18</xdr:row>
      <xdr:rowOff>111900</xdr:rowOff>
    </xdr:from>
    <xdr:to>
      <xdr:col>1</xdr:col>
      <xdr:colOff>507225</xdr:colOff>
      <xdr:row>23</xdr:row>
      <xdr:rowOff>76200</xdr:rowOff>
    </xdr:to>
    <xdr:pic>
      <xdr:nvPicPr>
        <xdr:cNvPr id="11" name="Graphic 10" descr="Document with solid fill">
          <a:hlinkClick xmlns:r="http://schemas.openxmlformats.org/officeDocument/2006/relationships" r:id="rId5"/>
          <a:extLst>
            <a:ext uri="{FF2B5EF4-FFF2-40B4-BE49-F238E27FC236}">
              <a16:creationId xmlns:a16="http://schemas.microsoft.com/office/drawing/2014/main" id="{5CB139EB-92C9-4627-BAD2-19DFE21E6E1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00025" y="3540900"/>
          <a:ext cx="916800" cy="916800"/>
        </a:xfrm>
        <a:prstGeom prst="rect">
          <a:avLst/>
        </a:prstGeom>
      </xdr:spPr>
    </xdr:pic>
    <xdr:clientData/>
  </xdr:twoCellAnchor>
  <xdr:twoCellAnchor>
    <xdr:from>
      <xdr:col>2</xdr:col>
      <xdr:colOff>266700</xdr:colOff>
      <xdr:row>4</xdr:row>
      <xdr:rowOff>133350</xdr:rowOff>
    </xdr:from>
    <xdr:to>
      <xdr:col>6</xdr:col>
      <xdr:colOff>152400</xdr:colOff>
      <xdr:row>9</xdr:row>
      <xdr:rowOff>0</xdr:rowOff>
    </xdr:to>
    <xdr:sp macro="" textlink="">
      <xdr:nvSpPr>
        <xdr:cNvPr id="12" name="Rectangle 11">
          <a:extLst>
            <a:ext uri="{FF2B5EF4-FFF2-40B4-BE49-F238E27FC236}">
              <a16:creationId xmlns:a16="http://schemas.microsoft.com/office/drawing/2014/main" id="{4E463E9C-B2DA-474B-939A-09C3156C5C6C}"/>
            </a:ext>
          </a:extLst>
        </xdr:cNvPr>
        <xdr:cNvSpPr/>
      </xdr:nvSpPr>
      <xdr:spPr>
        <a:xfrm>
          <a:off x="1485900" y="895350"/>
          <a:ext cx="2324100" cy="819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Quantity</a:t>
          </a:r>
        </a:p>
      </xdr:txBody>
    </xdr:sp>
    <xdr:clientData/>
  </xdr:twoCellAnchor>
  <xdr:twoCellAnchor>
    <xdr:from>
      <xdr:col>6</xdr:col>
      <xdr:colOff>211931</xdr:colOff>
      <xdr:row>4</xdr:row>
      <xdr:rowOff>135731</xdr:rowOff>
    </xdr:from>
    <xdr:to>
      <xdr:col>10</xdr:col>
      <xdr:colOff>97631</xdr:colOff>
      <xdr:row>9</xdr:row>
      <xdr:rowOff>2381</xdr:rowOff>
    </xdr:to>
    <xdr:sp macro="" textlink="">
      <xdr:nvSpPr>
        <xdr:cNvPr id="13" name="Rectangle 12">
          <a:extLst>
            <a:ext uri="{FF2B5EF4-FFF2-40B4-BE49-F238E27FC236}">
              <a16:creationId xmlns:a16="http://schemas.microsoft.com/office/drawing/2014/main" id="{C512ABA1-C1C1-49A4-9C07-FC97EFCE03A2}"/>
            </a:ext>
          </a:extLst>
        </xdr:cNvPr>
        <xdr:cNvSpPr/>
      </xdr:nvSpPr>
      <xdr:spPr>
        <a:xfrm>
          <a:off x="3855244" y="897731"/>
          <a:ext cx="2314575" cy="819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Sales</a:t>
          </a:r>
        </a:p>
      </xdr:txBody>
    </xdr:sp>
    <xdr:clientData/>
  </xdr:twoCellAnchor>
  <xdr:twoCellAnchor>
    <xdr:from>
      <xdr:col>10</xdr:col>
      <xdr:colOff>204788</xdr:colOff>
      <xdr:row>4</xdr:row>
      <xdr:rowOff>133350</xdr:rowOff>
    </xdr:from>
    <xdr:to>
      <xdr:col>14</xdr:col>
      <xdr:colOff>90488</xdr:colOff>
      <xdr:row>9</xdr:row>
      <xdr:rowOff>0</xdr:rowOff>
    </xdr:to>
    <xdr:sp macro="" textlink="">
      <xdr:nvSpPr>
        <xdr:cNvPr id="14" name="Rectangle 13">
          <a:extLst>
            <a:ext uri="{FF2B5EF4-FFF2-40B4-BE49-F238E27FC236}">
              <a16:creationId xmlns:a16="http://schemas.microsoft.com/office/drawing/2014/main" id="{23341750-1944-407D-81F3-3435E2FCFAE0}"/>
            </a:ext>
          </a:extLst>
        </xdr:cNvPr>
        <xdr:cNvSpPr/>
      </xdr:nvSpPr>
      <xdr:spPr>
        <a:xfrm>
          <a:off x="6296358" y="886490"/>
          <a:ext cx="2322328" cy="8080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purchase</a:t>
          </a:r>
        </a:p>
      </xdr:txBody>
    </xdr:sp>
    <xdr:clientData/>
  </xdr:twoCellAnchor>
  <xdr:twoCellAnchor>
    <xdr:from>
      <xdr:col>14</xdr:col>
      <xdr:colOff>159544</xdr:colOff>
      <xdr:row>4</xdr:row>
      <xdr:rowOff>126206</xdr:rowOff>
    </xdr:from>
    <xdr:to>
      <xdr:col>18</xdr:col>
      <xdr:colOff>273843</xdr:colOff>
      <xdr:row>8</xdr:row>
      <xdr:rowOff>183356</xdr:rowOff>
    </xdr:to>
    <xdr:sp macro="" textlink="">
      <xdr:nvSpPr>
        <xdr:cNvPr id="15" name="Rectangle 14">
          <a:extLst>
            <a:ext uri="{FF2B5EF4-FFF2-40B4-BE49-F238E27FC236}">
              <a16:creationId xmlns:a16="http://schemas.microsoft.com/office/drawing/2014/main" id="{27207F5D-B0F2-485A-A9CB-0505AEF4A7FB}"/>
            </a:ext>
          </a:extLst>
        </xdr:cNvPr>
        <xdr:cNvSpPr/>
      </xdr:nvSpPr>
      <xdr:spPr>
        <a:xfrm>
          <a:off x="8660607" y="888206"/>
          <a:ext cx="2543174" cy="819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Profit</a:t>
          </a:r>
        </a:p>
      </xdr:txBody>
    </xdr:sp>
    <xdr:clientData/>
  </xdr:twoCellAnchor>
  <xdr:twoCellAnchor>
    <xdr:from>
      <xdr:col>2</xdr:col>
      <xdr:colOff>581025</xdr:colOff>
      <xdr:row>7</xdr:row>
      <xdr:rowOff>76200</xdr:rowOff>
    </xdr:from>
    <xdr:to>
      <xdr:col>4</xdr:col>
      <xdr:colOff>400050</xdr:colOff>
      <xdr:row>9</xdr:row>
      <xdr:rowOff>85725</xdr:rowOff>
    </xdr:to>
    <xdr:sp macro="" textlink="Pivot!$D$1">
      <xdr:nvSpPr>
        <xdr:cNvPr id="16" name="Rectangle 15">
          <a:extLst>
            <a:ext uri="{FF2B5EF4-FFF2-40B4-BE49-F238E27FC236}">
              <a16:creationId xmlns:a16="http://schemas.microsoft.com/office/drawing/2014/main" id="{67C17D85-469B-4EDC-9215-829CC0F73BC6}"/>
            </a:ext>
          </a:extLst>
        </xdr:cNvPr>
        <xdr:cNvSpPr/>
      </xdr:nvSpPr>
      <xdr:spPr>
        <a:xfrm>
          <a:off x="1800225" y="1409700"/>
          <a:ext cx="1038225"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233460F3-C86B-4D3D-81AE-317B325AF9FE}" type="TxLink">
            <a:rPr lang="en-US" sz="2000" b="1" i="0" u="none" strike="noStrike">
              <a:solidFill>
                <a:schemeClr val="bg1"/>
              </a:solidFill>
              <a:latin typeface="Calibri"/>
              <a:cs typeface="Calibri"/>
            </a:rPr>
            <a:t>323</a:t>
          </a:fld>
          <a:endParaRPr lang="en-US" sz="2000" b="1">
            <a:solidFill>
              <a:schemeClr val="bg1"/>
            </a:solidFill>
          </a:endParaRPr>
        </a:p>
      </xdr:txBody>
    </xdr:sp>
    <xdr:clientData/>
  </xdr:twoCellAnchor>
  <xdr:twoCellAnchor>
    <xdr:from>
      <xdr:col>6</xdr:col>
      <xdr:colOff>457200</xdr:colOff>
      <xdr:row>7</xdr:row>
      <xdr:rowOff>47625</xdr:rowOff>
    </xdr:from>
    <xdr:to>
      <xdr:col>8</xdr:col>
      <xdr:colOff>276225</xdr:colOff>
      <xdr:row>9</xdr:row>
      <xdr:rowOff>57150</xdr:rowOff>
    </xdr:to>
    <xdr:sp macro="" textlink="Pivot!$G$1">
      <xdr:nvSpPr>
        <xdr:cNvPr id="17" name="Rectangle 16">
          <a:extLst>
            <a:ext uri="{FF2B5EF4-FFF2-40B4-BE49-F238E27FC236}">
              <a16:creationId xmlns:a16="http://schemas.microsoft.com/office/drawing/2014/main" id="{C7AAE7E9-D4A6-4D11-B8E2-4E2969C2B5C7}"/>
            </a:ext>
          </a:extLst>
        </xdr:cNvPr>
        <xdr:cNvSpPr/>
      </xdr:nvSpPr>
      <xdr:spPr>
        <a:xfrm>
          <a:off x="4114800" y="1381125"/>
          <a:ext cx="1038225"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9F0D6002-3110-46FF-B2DF-E7361DD9FA72}" type="TxLink">
            <a:rPr lang="en-US" sz="2000" b="1" i="0" u="none" strike="noStrike">
              <a:solidFill>
                <a:schemeClr val="bg1"/>
              </a:solidFill>
              <a:latin typeface="Calibri"/>
              <a:cs typeface="Calibri"/>
            </a:rPr>
            <a:t>180054</a:t>
          </a:fld>
          <a:endParaRPr lang="en-US" sz="2000" b="1">
            <a:solidFill>
              <a:schemeClr val="bg1"/>
            </a:solidFill>
          </a:endParaRPr>
        </a:p>
      </xdr:txBody>
    </xdr:sp>
    <xdr:clientData/>
  </xdr:twoCellAnchor>
  <xdr:twoCellAnchor>
    <xdr:from>
      <xdr:col>14</xdr:col>
      <xdr:colOff>438150</xdr:colOff>
      <xdr:row>6</xdr:row>
      <xdr:rowOff>95250</xdr:rowOff>
    </xdr:from>
    <xdr:to>
      <xdr:col>16</xdr:col>
      <xdr:colOff>209549</xdr:colOff>
      <xdr:row>8</xdr:row>
      <xdr:rowOff>104775</xdr:rowOff>
    </xdr:to>
    <xdr:sp macro="" textlink="Pivot!$M$1">
      <xdr:nvSpPr>
        <xdr:cNvPr id="19" name="Rectangle 18">
          <a:extLst>
            <a:ext uri="{FF2B5EF4-FFF2-40B4-BE49-F238E27FC236}">
              <a16:creationId xmlns:a16="http://schemas.microsoft.com/office/drawing/2014/main" id="{84AB3D41-64F9-4801-9737-B3679AA61898}"/>
            </a:ext>
          </a:extLst>
        </xdr:cNvPr>
        <xdr:cNvSpPr/>
      </xdr:nvSpPr>
      <xdr:spPr>
        <a:xfrm>
          <a:off x="8972550" y="1238250"/>
          <a:ext cx="990599"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11D59BD8-BFBA-48FD-A004-69AEFF80B687}" type="TxLink">
            <a:rPr lang="en-US" sz="2000" b="1" i="0" u="none" strike="noStrike">
              <a:solidFill>
                <a:schemeClr val="bg1"/>
              </a:solidFill>
              <a:latin typeface="Calibri"/>
              <a:cs typeface="Calibri"/>
            </a:rPr>
            <a:t>275723</a:t>
          </a:fld>
          <a:endParaRPr lang="en-US" sz="2000" b="1">
            <a:solidFill>
              <a:schemeClr val="bg1"/>
            </a:solidFill>
          </a:endParaRPr>
        </a:p>
      </xdr:txBody>
    </xdr:sp>
    <xdr:clientData/>
  </xdr:twoCellAnchor>
  <xdr:twoCellAnchor>
    <xdr:from>
      <xdr:col>4</xdr:col>
      <xdr:colOff>228599</xdr:colOff>
      <xdr:row>4</xdr:row>
      <xdr:rowOff>38099</xdr:rowOff>
    </xdr:from>
    <xdr:to>
      <xdr:col>6</xdr:col>
      <xdr:colOff>361950</xdr:colOff>
      <xdr:row>9</xdr:row>
      <xdr:rowOff>9524</xdr:rowOff>
    </xdr:to>
    <xdr:graphicFrame macro="">
      <xdr:nvGraphicFramePr>
        <xdr:cNvPr id="20" name="Chart 19">
          <a:extLst>
            <a:ext uri="{FF2B5EF4-FFF2-40B4-BE49-F238E27FC236}">
              <a16:creationId xmlns:a16="http://schemas.microsoft.com/office/drawing/2014/main" id="{56072210-F183-45D1-B812-0F36A07D3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204788</xdr:colOff>
      <xdr:row>4</xdr:row>
      <xdr:rowOff>147637</xdr:rowOff>
    </xdr:from>
    <xdr:to>
      <xdr:col>10</xdr:col>
      <xdr:colOff>452437</xdr:colOff>
      <xdr:row>9</xdr:row>
      <xdr:rowOff>154781</xdr:rowOff>
    </xdr:to>
    <xdr:graphicFrame macro="">
      <xdr:nvGraphicFramePr>
        <xdr:cNvPr id="21" name="Chart 20">
          <a:extLst>
            <a:ext uri="{FF2B5EF4-FFF2-40B4-BE49-F238E27FC236}">
              <a16:creationId xmlns:a16="http://schemas.microsoft.com/office/drawing/2014/main" id="{E85DE909-D978-4469-B793-82255AD32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78582</xdr:colOff>
      <xdr:row>3</xdr:row>
      <xdr:rowOff>169069</xdr:rowOff>
    </xdr:from>
    <xdr:to>
      <xdr:col>18</xdr:col>
      <xdr:colOff>321468</xdr:colOff>
      <xdr:row>9</xdr:row>
      <xdr:rowOff>97631</xdr:rowOff>
    </xdr:to>
    <xdr:graphicFrame macro="">
      <xdr:nvGraphicFramePr>
        <xdr:cNvPr id="23" name="Chart 22">
          <a:extLst>
            <a:ext uri="{FF2B5EF4-FFF2-40B4-BE49-F238E27FC236}">
              <a16:creationId xmlns:a16="http://schemas.microsoft.com/office/drawing/2014/main" id="{3DF49900-BEE9-4EA9-A33F-3AC5B3112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264320</xdr:colOff>
      <xdr:row>9</xdr:row>
      <xdr:rowOff>59533</xdr:rowOff>
    </xdr:from>
    <xdr:to>
      <xdr:col>18</xdr:col>
      <xdr:colOff>279537</xdr:colOff>
      <xdr:row>23</xdr:row>
      <xdr:rowOff>183358</xdr:rowOff>
    </xdr:to>
    <xdr:sp macro="" textlink="">
      <xdr:nvSpPr>
        <xdr:cNvPr id="24" name="Rectangle 23">
          <a:extLst>
            <a:ext uri="{FF2B5EF4-FFF2-40B4-BE49-F238E27FC236}">
              <a16:creationId xmlns:a16="http://schemas.microsoft.com/office/drawing/2014/main" id="{2313ABDB-EC17-4CB2-8161-250CE0AD68B8}"/>
            </a:ext>
          </a:extLst>
        </xdr:cNvPr>
        <xdr:cNvSpPr/>
      </xdr:nvSpPr>
      <xdr:spPr>
        <a:xfrm>
          <a:off x="1486005" y="1783351"/>
          <a:ext cx="9788695" cy="2805320"/>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359569</xdr:colOff>
      <xdr:row>9</xdr:row>
      <xdr:rowOff>178593</xdr:rowOff>
    </xdr:from>
    <xdr:to>
      <xdr:col>8</xdr:col>
      <xdr:colOff>207169</xdr:colOff>
      <xdr:row>23</xdr:row>
      <xdr:rowOff>188118</xdr:rowOff>
    </xdr:to>
    <xdr:graphicFrame macro="">
      <xdr:nvGraphicFramePr>
        <xdr:cNvPr id="35" name="Chart 34">
          <a:extLst>
            <a:ext uri="{FF2B5EF4-FFF2-40B4-BE49-F238E27FC236}">
              <a16:creationId xmlns:a16="http://schemas.microsoft.com/office/drawing/2014/main" id="{76E8C8CA-8586-49BD-AFBF-1B7B76F3E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347662</xdr:colOff>
      <xdr:row>9</xdr:row>
      <xdr:rowOff>180974</xdr:rowOff>
    </xdr:from>
    <xdr:to>
      <xdr:col>14</xdr:col>
      <xdr:colOff>4762</xdr:colOff>
      <xdr:row>24</xdr:row>
      <xdr:rowOff>19049</xdr:rowOff>
    </xdr:to>
    <xdr:graphicFrame macro="">
      <xdr:nvGraphicFramePr>
        <xdr:cNvPr id="36" name="Chart 35">
          <a:extLst>
            <a:ext uri="{FF2B5EF4-FFF2-40B4-BE49-F238E27FC236}">
              <a16:creationId xmlns:a16="http://schemas.microsoft.com/office/drawing/2014/main" id="{5DAB2F42-403F-4A86-90DF-0B784EEC4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600075</xdr:colOff>
      <xdr:row>9</xdr:row>
      <xdr:rowOff>71437</xdr:rowOff>
    </xdr:from>
    <xdr:to>
      <xdr:col>18</xdr:col>
      <xdr:colOff>192882</xdr:colOff>
      <xdr:row>23</xdr:row>
      <xdr:rowOff>61912</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5C961ED7-E039-4BDC-9877-DDE6AEB7D4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8493919" y="1785937"/>
              <a:ext cx="2628901" cy="26574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371477</xdr:colOff>
      <xdr:row>0</xdr:row>
      <xdr:rowOff>76201</xdr:rowOff>
    </xdr:from>
    <xdr:to>
      <xdr:col>24</xdr:col>
      <xdr:colOff>38102</xdr:colOff>
      <xdr:row>23</xdr:row>
      <xdr:rowOff>178595</xdr:rowOff>
    </xdr:to>
    <xdr:sp macro="" textlink="">
      <xdr:nvSpPr>
        <xdr:cNvPr id="38" name="Rectangle 37">
          <a:extLst>
            <a:ext uri="{FF2B5EF4-FFF2-40B4-BE49-F238E27FC236}">
              <a16:creationId xmlns:a16="http://schemas.microsoft.com/office/drawing/2014/main" id="{AA5B0846-0927-4375-9697-743DFB6D46F5}"/>
            </a:ext>
          </a:extLst>
        </xdr:cNvPr>
        <xdr:cNvSpPr/>
      </xdr:nvSpPr>
      <xdr:spPr>
        <a:xfrm>
          <a:off x="11301415" y="76201"/>
          <a:ext cx="3309937" cy="4483894"/>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18</xdr:col>
      <xdr:colOff>466725</xdr:colOff>
      <xdr:row>0</xdr:row>
      <xdr:rowOff>76200</xdr:rowOff>
    </xdr:from>
    <xdr:to>
      <xdr:col>24</xdr:col>
      <xdr:colOff>123825</xdr:colOff>
      <xdr:row>24</xdr:row>
      <xdr:rowOff>66675</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53FAD04E-2A62-4E76-AAF4-AB2F850038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439525" y="76200"/>
              <a:ext cx="3314700" cy="45624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307237</xdr:colOff>
      <xdr:row>6</xdr:row>
      <xdr:rowOff>142210</xdr:rowOff>
    </xdr:from>
    <xdr:to>
      <xdr:col>12</xdr:col>
      <xdr:colOff>127148</xdr:colOff>
      <xdr:row>8</xdr:row>
      <xdr:rowOff>156165</xdr:rowOff>
    </xdr:to>
    <xdr:sp macro="" textlink="Pivot!$J$1">
      <xdr:nvSpPr>
        <xdr:cNvPr id="40" name="Rectangle 39">
          <a:extLst>
            <a:ext uri="{FF2B5EF4-FFF2-40B4-BE49-F238E27FC236}">
              <a16:creationId xmlns:a16="http://schemas.microsoft.com/office/drawing/2014/main" id="{9E3B38A8-4F76-4F55-8302-B8496ACE79AA}"/>
            </a:ext>
          </a:extLst>
        </xdr:cNvPr>
        <xdr:cNvSpPr/>
      </xdr:nvSpPr>
      <xdr:spPr>
        <a:xfrm>
          <a:off x="6398807" y="1271919"/>
          <a:ext cx="1038225" cy="39052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9C274C8-C76E-4F74-998E-A0FA7DF9B730}" type="TxLink">
            <a:rPr lang="en-US" sz="2000" b="1" i="0" u="none" strike="noStrike">
              <a:solidFill>
                <a:schemeClr val="bg1"/>
              </a:solidFill>
              <a:latin typeface="Calibri"/>
              <a:cs typeface="Calibri"/>
            </a:rPr>
            <a:t>102208</a:t>
          </a:fld>
          <a:endParaRPr lang="en-US" sz="2000" b="1">
            <a:solidFill>
              <a:schemeClr val="bg1"/>
            </a:solidFill>
          </a:endParaRPr>
        </a:p>
      </xdr:txBody>
    </xdr:sp>
    <xdr:clientData/>
  </xdr:twoCellAnchor>
  <xdr:twoCellAnchor>
    <xdr:from>
      <xdr:col>12</xdr:col>
      <xdr:colOff>238014</xdr:colOff>
      <xdr:row>3</xdr:row>
      <xdr:rowOff>121831</xdr:rowOff>
    </xdr:from>
    <xdr:to>
      <xdr:col>14</xdr:col>
      <xdr:colOff>487325</xdr:colOff>
      <xdr:row>9</xdr:row>
      <xdr:rowOff>115297</xdr:rowOff>
    </xdr:to>
    <xdr:graphicFrame macro="">
      <xdr:nvGraphicFramePr>
        <xdr:cNvPr id="41" name="Chart 40">
          <a:extLst>
            <a:ext uri="{FF2B5EF4-FFF2-40B4-BE49-F238E27FC236}">
              <a16:creationId xmlns:a16="http://schemas.microsoft.com/office/drawing/2014/main" id="{32A4DF30-905B-4D7B-96F1-8ACA68430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88603</xdr:colOff>
      <xdr:row>1</xdr:row>
      <xdr:rowOff>11074</xdr:rowOff>
    </xdr:from>
    <xdr:to>
      <xdr:col>18</xdr:col>
      <xdr:colOff>99679</xdr:colOff>
      <xdr:row>3</xdr:row>
      <xdr:rowOff>172335</xdr:rowOff>
    </xdr:to>
    <xdr:pic>
      <xdr:nvPicPr>
        <xdr:cNvPr id="43" name="Graphic 42" descr="Star with solid fill">
          <a:extLst>
            <a:ext uri="{FF2B5EF4-FFF2-40B4-BE49-F238E27FC236}">
              <a16:creationId xmlns:a16="http://schemas.microsoft.com/office/drawing/2014/main" id="{AFB561F8-2584-4A37-BED8-C098261FA0AC}"/>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0444272" y="199359"/>
          <a:ext cx="620233" cy="53783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yam panchal" refreshedDate="46063.752220138886" createdVersion="7" refreshedVersion="7" minRefreshableVersion="3" recordCount="160" xr:uid="{5B0FFF74-EAE3-4658-ACE7-5D9AA1F5AB10}">
  <cacheSource type="worksheet">
    <worksheetSource ref="A1:K161" sheet="Original"/>
  </cacheSource>
  <cacheFields count="11">
    <cacheField name="Order ID" numFmtId="0">
      <sharedItems containsString="0" containsBlank="1" containsNumber="1" containsInteger="1" minValue="1004" maxValue="1119" count="93">
        <n v="1004"/>
        <n v="1005"/>
        <n v="1006"/>
        <n v="1008"/>
        <n v="1009"/>
        <n v="1010"/>
        <n v="1011"/>
        <n v="1012"/>
        <n v="1013"/>
        <n v="1014"/>
        <n v="1015"/>
        <n v="1016"/>
        <n v="1017"/>
        <n v="1018"/>
        <n v="1020"/>
        <n v="1021"/>
        <n v="1022"/>
        <n v="1023"/>
        <n v="1024"/>
        <n v="1025"/>
        <n v="1027"/>
        <n v="1028"/>
        <n v="1029"/>
        <n v="1030"/>
        <n v="1031"/>
        <n v="1032"/>
        <n v="1033"/>
        <n v="1034"/>
        <n v="1035"/>
        <n v="1036"/>
        <n v="1037"/>
        <n v="1038"/>
        <n v="1039"/>
        <n v="1040"/>
        <n v="1042"/>
        <n v="1043"/>
        <n v="1044"/>
        <n v="1045"/>
        <n v="1046"/>
        <n v="1047"/>
        <n v="1048"/>
        <n v="1049"/>
        <n v="1050"/>
        <n v="1052"/>
        <n v="1054"/>
        <n v="1055"/>
        <n v="1057"/>
        <n v="1059"/>
        <n v="1060"/>
        <n v="1061"/>
        <n v="1062"/>
        <n v="1063"/>
        <n v="1065"/>
        <n v="1066"/>
        <n v="1070"/>
        <n v="1071"/>
        <n v="1072"/>
        <n v="1073"/>
        <n v="1074"/>
        <n v="1075"/>
        <n v="1076"/>
        <n v="1077"/>
        <n v="1078"/>
        <n v="1079"/>
        <n v="1081"/>
        <n v="1082"/>
        <n v="1083"/>
        <n v="1084"/>
        <n v="1085"/>
        <n v="1086"/>
        <n v="1087"/>
        <n v="1088"/>
        <n v="1089"/>
        <n v="1090"/>
        <n v="1091"/>
        <n v="1093"/>
        <n v="1094"/>
        <n v="1096"/>
        <n v="1097"/>
        <n v="1098"/>
        <n v="1103"/>
        <n v="1104"/>
        <n v="1107"/>
        <n v="1108"/>
        <n v="1109"/>
        <n v="1111"/>
        <n v="1112"/>
        <n v="1113"/>
        <n v="1114"/>
        <n v="1117"/>
        <n v="1118"/>
        <n v="1119"/>
        <m/>
      </sharedItems>
    </cacheField>
    <cacheField name="Order Date" numFmtId="0">
      <sharedItems containsNonDate="0" containsDate="1" containsString="0" containsBlank="1" minDate="2024-01-05T00:00:00" maxDate="2025-02-03T00:00:00"/>
    </cacheField>
    <cacheField name="Month" numFmtId="0">
      <sharedItems containsBlank="1" count="13">
        <s v="Jun"/>
        <s v="Jul"/>
        <s v="Aug"/>
        <s v="Apr"/>
        <s v="Oct"/>
        <s v="Dec"/>
        <s v="Feb"/>
        <s v="Jan"/>
        <s v="May"/>
        <s v="Nov"/>
        <s v="Sep"/>
        <s v="Mar"/>
        <m/>
      </sharedItems>
    </cacheField>
    <cacheField name="Product Name" numFmtId="0">
      <sharedItems containsBlank="1" count="9">
        <s v="Sports Shoes"/>
        <s v="Wireless Mouse"/>
        <s v="Sunglasses"/>
        <s v="T-Shirt"/>
        <s v="Bluetooth Headset"/>
        <s v="Jeans"/>
        <s v="Smart Watch"/>
        <s v="Backpack"/>
        <m/>
      </sharedItems>
    </cacheField>
    <cacheField name="Category" numFmtId="0">
      <sharedItems containsBlank="1" count="5">
        <s v="Footwear"/>
        <s v="Electronics"/>
        <s v="Accessories"/>
        <s v="Fashion"/>
        <m/>
      </sharedItems>
    </cacheField>
    <cacheField name="Quantity" numFmtId="0">
      <sharedItems containsString="0" containsBlank="1" containsNumber="1" containsInteger="1" minValue="1" maxValue="6"/>
    </cacheField>
    <cacheField name="Purchase Price" numFmtId="0">
      <sharedItems containsString="0" containsBlank="1" containsNumber="1" containsInteger="1" minValue="300" maxValue="1983"/>
    </cacheField>
    <cacheField name="Sale Price" numFmtId="0">
      <sharedItems containsString="0" containsBlank="1" containsNumber="1" containsInteger="1" minValue="635" maxValue="3105"/>
    </cacheField>
    <cacheField name="Revenue" numFmtId="0">
      <sharedItems containsString="0" containsBlank="1" containsNumber="1" containsInteger="1" minValue="937" maxValue="18192"/>
    </cacheField>
    <cacheField name="Profit" numFmtId="0">
      <sharedItems containsString="0" containsBlank="1" containsNumber="1" containsInteger="1" minValue="330" maxValue="8436"/>
    </cacheField>
    <cacheField name="State" numFmtId="0">
      <sharedItems containsBlank="1" count="9">
        <s v="Tamil Nadu"/>
        <s v="Delhi"/>
        <s v="Karnataka"/>
        <s v="Gujarat"/>
        <s v="Rajasthan"/>
        <s v="Madhya Pradesh"/>
        <s v="Uttar Pradesh"/>
        <s v="Maharashtra"/>
        <m/>
      </sharedItems>
    </cacheField>
  </cacheFields>
  <extLst>
    <ext xmlns:x14="http://schemas.microsoft.com/office/spreadsheetml/2009/9/main" uri="{725AE2AE-9491-48be-B2B4-4EB974FC3084}">
      <x14:pivotCacheDefinition pivotCacheId="1623101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x v="0"/>
    <d v="2024-06-08T00:00:00"/>
    <x v="0"/>
    <x v="0"/>
    <x v="0"/>
    <n v="3"/>
    <n v="521"/>
    <n v="1806"/>
    <n v="5418"/>
    <n v="3855"/>
    <x v="0"/>
  </r>
  <r>
    <x v="1"/>
    <d v="2024-07-08T00:00:00"/>
    <x v="1"/>
    <x v="1"/>
    <x v="1"/>
    <n v="6"/>
    <n v="605"/>
    <n v="1822"/>
    <n v="10932"/>
    <n v="7302"/>
    <x v="1"/>
  </r>
  <r>
    <x v="2"/>
    <d v="2024-08-09T00:00:00"/>
    <x v="2"/>
    <x v="2"/>
    <x v="2"/>
    <n v="4"/>
    <n v="464"/>
    <n v="1788"/>
    <n v="7152"/>
    <n v="5296"/>
    <x v="2"/>
  </r>
  <r>
    <x v="3"/>
    <d v="2024-04-27T00:00:00"/>
    <x v="3"/>
    <x v="3"/>
    <x v="3"/>
    <n v="1"/>
    <n v="445"/>
    <n v="1837"/>
    <n v="1837"/>
    <n v="1392"/>
    <x v="3"/>
  </r>
  <r>
    <x v="4"/>
    <d v="2024-10-31T00:00:00"/>
    <x v="4"/>
    <x v="4"/>
    <x v="1"/>
    <n v="5"/>
    <n v="464"/>
    <n v="944"/>
    <n v="4720"/>
    <n v="2400"/>
    <x v="3"/>
  </r>
  <r>
    <x v="5"/>
    <d v="2024-12-17T00:00:00"/>
    <x v="5"/>
    <x v="5"/>
    <x v="3"/>
    <n v="6"/>
    <n v="879"/>
    <n v="1908"/>
    <n v="11448"/>
    <n v="6174"/>
    <x v="4"/>
  </r>
  <r>
    <x v="6"/>
    <d v="2024-02-13T00:00:00"/>
    <x v="6"/>
    <x v="3"/>
    <x v="3"/>
    <n v="1"/>
    <n v="793"/>
    <n v="2054"/>
    <n v="2054"/>
    <n v="1261"/>
    <x v="5"/>
  </r>
  <r>
    <x v="7"/>
    <d v="2024-10-29T00:00:00"/>
    <x v="4"/>
    <x v="1"/>
    <x v="1"/>
    <n v="6"/>
    <n v="1816"/>
    <n v="3032"/>
    <n v="18192"/>
    <n v="7296"/>
    <x v="0"/>
  </r>
  <r>
    <x v="8"/>
    <d v="2024-12-03T00:00:00"/>
    <x v="5"/>
    <x v="2"/>
    <x v="2"/>
    <n v="4"/>
    <n v="689"/>
    <n v="982"/>
    <n v="3928"/>
    <n v="1172"/>
    <x v="0"/>
  </r>
  <r>
    <x v="9"/>
    <d v="2024-02-17T00:00:00"/>
    <x v="6"/>
    <x v="5"/>
    <x v="3"/>
    <n v="2"/>
    <n v="740"/>
    <n v="1529"/>
    <n v="3058"/>
    <n v="1578"/>
    <x v="0"/>
  </r>
  <r>
    <x v="10"/>
    <d v="2024-10-15T00:00:00"/>
    <x v="4"/>
    <x v="3"/>
    <x v="3"/>
    <n v="2"/>
    <n v="1269"/>
    <n v="2740"/>
    <n v="5480"/>
    <n v="2942"/>
    <x v="4"/>
  </r>
  <r>
    <x v="11"/>
    <d v="2025-01-04T00:00:00"/>
    <x v="7"/>
    <x v="5"/>
    <x v="3"/>
    <n v="3"/>
    <n v="814"/>
    <n v="1386"/>
    <n v="4158"/>
    <n v="1716"/>
    <x v="4"/>
  </r>
  <r>
    <x v="12"/>
    <d v="2024-12-03T00:00:00"/>
    <x v="5"/>
    <x v="1"/>
    <x v="1"/>
    <n v="5"/>
    <n v="1868"/>
    <n v="2225"/>
    <n v="11125"/>
    <n v="1785"/>
    <x v="5"/>
  </r>
  <r>
    <x v="13"/>
    <d v="2024-08-04T00:00:00"/>
    <x v="2"/>
    <x v="3"/>
    <x v="3"/>
    <n v="2"/>
    <n v="1398"/>
    <n v="2416"/>
    <n v="4832"/>
    <n v="2036"/>
    <x v="1"/>
  </r>
  <r>
    <x v="14"/>
    <d v="2024-05-16T00:00:00"/>
    <x v="8"/>
    <x v="1"/>
    <x v="1"/>
    <n v="5"/>
    <n v="760"/>
    <n v="2186"/>
    <n v="10930"/>
    <n v="7130"/>
    <x v="1"/>
  </r>
  <r>
    <x v="15"/>
    <d v="2024-08-24T00:00:00"/>
    <x v="2"/>
    <x v="0"/>
    <x v="0"/>
    <n v="5"/>
    <n v="1793"/>
    <n v="2394"/>
    <n v="11970"/>
    <n v="3005"/>
    <x v="0"/>
  </r>
  <r>
    <x v="16"/>
    <d v="2024-11-06T00:00:00"/>
    <x v="9"/>
    <x v="2"/>
    <x v="2"/>
    <n v="6"/>
    <n v="824"/>
    <n v="1679"/>
    <n v="10074"/>
    <n v="5130"/>
    <x v="3"/>
  </r>
  <r>
    <x v="17"/>
    <d v="2025-01-10T00:00:00"/>
    <x v="7"/>
    <x v="2"/>
    <x v="2"/>
    <n v="6"/>
    <n v="613"/>
    <n v="1604"/>
    <n v="9624"/>
    <n v="5946"/>
    <x v="6"/>
  </r>
  <r>
    <x v="18"/>
    <d v="2024-09-06T00:00:00"/>
    <x v="10"/>
    <x v="6"/>
    <x v="1"/>
    <n v="1"/>
    <n v="1312"/>
    <n v="2077"/>
    <n v="2077"/>
    <n v="765"/>
    <x v="4"/>
  </r>
  <r>
    <x v="19"/>
    <d v="2025-01-02T00:00:00"/>
    <x v="7"/>
    <x v="2"/>
    <x v="2"/>
    <n v="4"/>
    <n v="1589"/>
    <n v="2867"/>
    <n v="11468"/>
    <n v="5112"/>
    <x v="0"/>
  </r>
  <r>
    <x v="20"/>
    <d v="2025-01-02T00:00:00"/>
    <x v="7"/>
    <x v="0"/>
    <x v="0"/>
    <n v="3"/>
    <n v="877"/>
    <n v="2215"/>
    <n v="6645"/>
    <n v="4014"/>
    <x v="2"/>
  </r>
  <r>
    <x v="21"/>
    <d v="2024-07-24T00:00:00"/>
    <x v="1"/>
    <x v="0"/>
    <x v="0"/>
    <n v="4"/>
    <n v="1294"/>
    <n v="2379"/>
    <n v="9516"/>
    <n v="4340"/>
    <x v="7"/>
  </r>
  <r>
    <x v="22"/>
    <d v="2024-12-16T00:00:00"/>
    <x v="5"/>
    <x v="5"/>
    <x v="3"/>
    <n v="6"/>
    <n v="1709"/>
    <n v="2949"/>
    <n v="17694"/>
    <n v="7440"/>
    <x v="2"/>
  </r>
  <r>
    <x v="23"/>
    <d v="2024-09-15T00:00:00"/>
    <x v="10"/>
    <x v="4"/>
    <x v="1"/>
    <n v="1"/>
    <n v="491"/>
    <n v="1038"/>
    <n v="1038"/>
    <n v="547"/>
    <x v="7"/>
  </r>
  <r>
    <x v="24"/>
    <d v="2024-05-22T00:00:00"/>
    <x v="8"/>
    <x v="4"/>
    <x v="1"/>
    <n v="3"/>
    <n v="445"/>
    <n v="1597"/>
    <n v="4791"/>
    <n v="3456"/>
    <x v="5"/>
  </r>
  <r>
    <x v="25"/>
    <d v="2024-04-24T00:00:00"/>
    <x v="3"/>
    <x v="1"/>
    <x v="1"/>
    <n v="1"/>
    <n v="1818"/>
    <n v="2481"/>
    <n v="2481"/>
    <n v="663"/>
    <x v="1"/>
  </r>
  <r>
    <x v="26"/>
    <d v="2024-01-23T00:00:00"/>
    <x v="7"/>
    <x v="1"/>
    <x v="1"/>
    <n v="4"/>
    <n v="1480"/>
    <n v="1969"/>
    <n v="7876"/>
    <n v="1956"/>
    <x v="0"/>
  </r>
  <r>
    <x v="27"/>
    <d v="2024-01-23T00:00:00"/>
    <x v="7"/>
    <x v="1"/>
    <x v="1"/>
    <n v="3"/>
    <n v="1004"/>
    <n v="2340"/>
    <n v="7020"/>
    <n v="4008"/>
    <x v="5"/>
  </r>
  <r>
    <x v="28"/>
    <d v="2024-06-20T00:00:00"/>
    <x v="0"/>
    <x v="1"/>
    <x v="1"/>
    <n v="6"/>
    <n v="885"/>
    <n v="1465"/>
    <n v="8790"/>
    <n v="3480"/>
    <x v="2"/>
  </r>
  <r>
    <x v="29"/>
    <d v="2024-08-20T00:00:00"/>
    <x v="2"/>
    <x v="1"/>
    <x v="1"/>
    <n v="2"/>
    <n v="506"/>
    <n v="1384"/>
    <n v="2768"/>
    <n v="1756"/>
    <x v="2"/>
  </r>
  <r>
    <x v="30"/>
    <d v="2024-04-17T00:00:00"/>
    <x v="3"/>
    <x v="7"/>
    <x v="2"/>
    <n v="5"/>
    <n v="300"/>
    <n v="1022"/>
    <n v="5110"/>
    <n v="3610"/>
    <x v="0"/>
  </r>
  <r>
    <x v="31"/>
    <d v="2024-11-17T00:00:00"/>
    <x v="9"/>
    <x v="1"/>
    <x v="1"/>
    <n v="4"/>
    <n v="461"/>
    <n v="1691"/>
    <n v="6764"/>
    <n v="4920"/>
    <x v="2"/>
  </r>
  <r>
    <x v="32"/>
    <d v="2025-01-20T00:00:00"/>
    <x v="7"/>
    <x v="7"/>
    <x v="2"/>
    <n v="4"/>
    <n v="312"/>
    <n v="1132"/>
    <n v="4528"/>
    <n v="3280"/>
    <x v="0"/>
  </r>
  <r>
    <x v="33"/>
    <d v="2024-12-07T00:00:00"/>
    <x v="5"/>
    <x v="1"/>
    <x v="1"/>
    <n v="6"/>
    <n v="915"/>
    <n v="2053"/>
    <n v="12318"/>
    <n v="6828"/>
    <x v="0"/>
  </r>
  <r>
    <x v="34"/>
    <d v="2024-12-09T00:00:00"/>
    <x v="5"/>
    <x v="2"/>
    <x v="2"/>
    <n v="3"/>
    <n v="1136"/>
    <n v="1918"/>
    <n v="5754"/>
    <n v="2346"/>
    <x v="3"/>
  </r>
  <r>
    <x v="35"/>
    <d v="2024-10-04T00:00:00"/>
    <x v="4"/>
    <x v="3"/>
    <x v="3"/>
    <n v="1"/>
    <n v="1149"/>
    <n v="2083"/>
    <n v="2083"/>
    <n v="934"/>
    <x v="5"/>
  </r>
  <r>
    <x v="36"/>
    <d v="2024-01-11T00:00:00"/>
    <x v="7"/>
    <x v="1"/>
    <x v="1"/>
    <n v="2"/>
    <n v="760"/>
    <n v="991"/>
    <n v="1982"/>
    <n v="462"/>
    <x v="4"/>
  </r>
  <r>
    <x v="37"/>
    <d v="2024-06-05T00:00:00"/>
    <x v="0"/>
    <x v="3"/>
    <x v="3"/>
    <n v="2"/>
    <n v="1972"/>
    <n v="3014"/>
    <n v="6028"/>
    <n v="2084"/>
    <x v="4"/>
  </r>
  <r>
    <x v="38"/>
    <d v="2024-12-25T00:00:00"/>
    <x v="5"/>
    <x v="7"/>
    <x v="2"/>
    <n v="6"/>
    <n v="1427"/>
    <n v="2204"/>
    <n v="13224"/>
    <n v="4662"/>
    <x v="5"/>
  </r>
  <r>
    <x v="39"/>
    <d v="2024-01-21T00:00:00"/>
    <x v="7"/>
    <x v="7"/>
    <x v="2"/>
    <n v="2"/>
    <n v="385"/>
    <n v="1116"/>
    <n v="2232"/>
    <n v="1462"/>
    <x v="2"/>
  </r>
  <r>
    <x v="40"/>
    <d v="2024-08-12T00:00:00"/>
    <x v="2"/>
    <x v="5"/>
    <x v="3"/>
    <n v="4"/>
    <n v="1675"/>
    <n v="3105"/>
    <n v="12420"/>
    <n v="5720"/>
    <x v="5"/>
  </r>
  <r>
    <x v="41"/>
    <d v="2024-01-20T00:00:00"/>
    <x v="7"/>
    <x v="5"/>
    <x v="3"/>
    <n v="2"/>
    <n v="1912"/>
    <n v="2233"/>
    <n v="4466"/>
    <n v="642"/>
    <x v="5"/>
  </r>
  <r>
    <x v="42"/>
    <d v="2024-12-21T00:00:00"/>
    <x v="5"/>
    <x v="1"/>
    <x v="1"/>
    <n v="2"/>
    <n v="608"/>
    <n v="1181"/>
    <n v="2362"/>
    <n v="1146"/>
    <x v="1"/>
  </r>
  <r>
    <x v="43"/>
    <d v="2024-06-17T00:00:00"/>
    <x v="0"/>
    <x v="3"/>
    <x v="3"/>
    <n v="1"/>
    <n v="1651"/>
    <n v="2146"/>
    <n v="2146"/>
    <n v="495"/>
    <x v="6"/>
  </r>
  <r>
    <x v="44"/>
    <d v="2024-04-22T00:00:00"/>
    <x v="3"/>
    <x v="3"/>
    <x v="3"/>
    <n v="6"/>
    <n v="1630"/>
    <n v="2846"/>
    <n v="17076"/>
    <n v="7296"/>
    <x v="5"/>
  </r>
  <r>
    <x v="45"/>
    <d v="2024-04-18T00:00:00"/>
    <x v="3"/>
    <x v="0"/>
    <x v="0"/>
    <n v="3"/>
    <n v="1380"/>
    <n v="2722"/>
    <n v="8166"/>
    <n v="4026"/>
    <x v="4"/>
  </r>
  <r>
    <x v="46"/>
    <d v="2024-10-08T00:00:00"/>
    <x v="4"/>
    <x v="5"/>
    <x v="3"/>
    <n v="4"/>
    <n v="811"/>
    <n v="1065"/>
    <n v="4260"/>
    <n v="1016"/>
    <x v="3"/>
  </r>
  <r>
    <x v="47"/>
    <d v="2024-06-10T00:00:00"/>
    <x v="0"/>
    <x v="0"/>
    <x v="0"/>
    <n v="6"/>
    <n v="1621"/>
    <n v="2335"/>
    <n v="14010"/>
    <n v="4284"/>
    <x v="3"/>
  </r>
  <r>
    <x v="48"/>
    <d v="2024-09-27T00:00:00"/>
    <x v="10"/>
    <x v="1"/>
    <x v="1"/>
    <n v="4"/>
    <n v="1081"/>
    <n v="2401"/>
    <n v="9604"/>
    <n v="5280"/>
    <x v="6"/>
  </r>
  <r>
    <x v="49"/>
    <d v="2024-10-10T00:00:00"/>
    <x v="4"/>
    <x v="5"/>
    <x v="3"/>
    <n v="6"/>
    <n v="1491"/>
    <n v="2346"/>
    <n v="14076"/>
    <n v="5130"/>
    <x v="2"/>
  </r>
  <r>
    <x v="50"/>
    <d v="2024-09-14T00:00:00"/>
    <x v="10"/>
    <x v="6"/>
    <x v="1"/>
    <n v="1"/>
    <n v="402"/>
    <n v="1698"/>
    <n v="1698"/>
    <n v="1296"/>
    <x v="1"/>
  </r>
  <r>
    <x v="51"/>
    <d v="2024-01-15T00:00:00"/>
    <x v="7"/>
    <x v="2"/>
    <x v="2"/>
    <n v="2"/>
    <n v="858"/>
    <n v="1850"/>
    <n v="3700"/>
    <n v="1984"/>
    <x v="0"/>
  </r>
  <r>
    <x v="52"/>
    <d v="2024-02-24T00:00:00"/>
    <x v="6"/>
    <x v="5"/>
    <x v="3"/>
    <n v="5"/>
    <n v="1860"/>
    <n v="2325"/>
    <n v="11625"/>
    <n v="2325"/>
    <x v="6"/>
  </r>
  <r>
    <x v="53"/>
    <d v="2024-07-23T00:00:00"/>
    <x v="1"/>
    <x v="1"/>
    <x v="1"/>
    <n v="3"/>
    <n v="1019"/>
    <n v="2432"/>
    <n v="7296"/>
    <n v="4239"/>
    <x v="2"/>
  </r>
  <r>
    <x v="54"/>
    <d v="2025-02-02T00:00:00"/>
    <x v="6"/>
    <x v="3"/>
    <x v="3"/>
    <n v="2"/>
    <n v="1065"/>
    <n v="1495"/>
    <n v="2990"/>
    <n v="860"/>
    <x v="7"/>
  </r>
  <r>
    <x v="55"/>
    <d v="2024-03-06T00:00:00"/>
    <x v="11"/>
    <x v="6"/>
    <x v="1"/>
    <n v="4"/>
    <n v="1727"/>
    <n v="2432"/>
    <n v="9728"/>
    <n v="2820"/>
    <x v="4"/>
  </r>
  <r>
    <x v="56"/>
    <d v="2024-01-05T00:00:00"/>
    <x v="7"/>
    <x v="2"/>
    <x v="2"/>
    <n v="5"/>
    <n v="1745"/>
    <n v="2720"/>
    <n v="13600"/>
    <n v="4875"/>
    <x v="3"/>
  </r>
  <r>
    <x v="57"/>
    <d v="2024-09-24T00:00:00"/>
    <x v="10"/>
    <x v="1"/>
    <x v="1"/>
    <n v="4"/>
    <n v="1646"/>
    <n v="2941"/>
    <n v="11764"/>
    <n v="5180"/>
    <x v="2"/>
  </r>
  <r>
    <x v="58"/>
    <d v="2024-08-30T00:00:00"/>
    <x v="2"/>
    <x v="3"/>
    <x v="3"/>
    <n v="5"/>
    <n v="570"/>
    <n v="1839"/>
    <n v="9195"/>
    <n v="6345"/>
    <x v="4"/>
  </r>
  <r>
    <x v="59"/>
    <d v="2024-05-15T00:00:00"/>
    <x v="8"/>
    <x v="4"/>
    <x v="1"/>
    <n v="1"/>
    <n v="834"/>
    <n v="1299"/>
    <n v="1299"/>
    <n v="465"/>
    <x v="7"/>
  </r>
  <r>
    <x v="60"/>
    <d v="2024-12-19T00:00:00"/>
    <x v="5"/>
    <x v="7"/>
    <x v="2"/>
    <n v="6"/>
    <n v="706"/>
    <n v="961"/>
    <n v="5766"/>
    <n v="1530"/>
    <x v="4"/>
  </r>
  <r>
    <x v="61"/>
    <d v="2025-01-18T00:00:00"/>
    <x v="7"/>
    <x v="1"/>
    <x v="1"/>
    <n v="1"/>
    <n v="639"/>
    <n v="1368"/>
    <n v="1368"/>
    <n v="729"/>
    <x v="6"/>
  </r>
  <r>
    <x v="62"/>
    <d v="2024-11-01T00:00:00"/>
    <x v="9"/>
    <x v="1"/>
    <x v="1"/>
    <n v="5"/>
    <n v="1865"/>
    <n v="2817"/>
    <n v="14085"/>
    <n v="4760"/>
    <x v="4"/>
  </r>
  <r>
    <x v="63"/>
    <d v="2025-01-28T00:00:00"/>
    <x v="7"/>
    <x v="4"/>
    <x v="1"/>
    <n v="1"/>
    <n v="801"/>
    <n v="1874"/>
    <n v="1874"/>
    <n v="1073"/>
    <x v="3"/>
  </r>
  <r>
    <x v="64"/>
    <d v="2024-03-22T00:00:00"/>
    <x v="11"/>
    <x v="1"/>
    <x v="1"/>
    <n v="1"/>
    <n v="524"/>
    <n v="937"/>
    <n v="937"/>
    <n v="413"/>
    <x v="0"/>
  </r>
  <r>
    <x v="65"/>
    <d v="2024-05-14T00:00:00"/>
    <x v="8"/>
    <x v="4"/>
    <x v="1"/>
    <n v="3"/>
    <n v="1879"/>
    <n v="2246"/>
    <n v="6738"/>
    <n v="1101"/>
    <x v="1"/>
  </r>
  <r>
    <x v="66"/>
    <d v="2024-03-19T00:00:00"/>
    <x v="11"/>
    <x v="3"/>
    <x v="3"/>
    <n v="1"/>
    <n v="1245"/>
    <n v="1585"/>
    <n v="1585"/>
    <n v="340"/>
    <x v="5"/>
  </r>
  <r>
    <x v="67"/>
    <d v="2024-12-18T00:00:00"/>
    <x v="5"/>
    <x v="2"/>
    <x v="2"/>
    <n v="4"/>
    <n v="799"/>
    <n v="1201"/>
    <n v="4804"/>
    <n v="1608"/>
    <x v="7"/>
  </r>
  <r>
    <x v="68"/>
    <d v="2024-04-26T00:00:00"/>
    <x v="3"/>
    <x v="3"/>
    <x v="3"/>
    <n v="6"/>
    <n v="442"/>
    <n v="635"/>
    <n v="3810"/>
    <n v="1158"/>
    <x v="6"/>
  </r>
  <r>
    <x v="69"/>
    <d v="2024-05-16T00:00:00"/>
    <x v="8"/>
    <x v="0"/>
    <x v="0"/>
    <n v="3"/>
    <n v="1027"/>
    <n v="1556"/>
    <n v="4668"/>
    <n v="1587"/>
    <x v="3"/>
  </r>
  <r>
    <x v="70"/>
    <d v="2024-04-19T00:00:00"/>
    <x v="3"/>
    <x v="6"/>
    <x v="1"/>
    <n v="4"/>
    <n v="1204"/>
    <n v="2209"/>
    <n v="8836"/>
    <n v="4020"/>
    <x v="5"/>
  </r>
  <r>
    <x v="71"/>
    <d v="2024-10-01T00:00:00"/>
    <x v="4"/>
    <x v="4"/>
    <x v="1"/>
    <n v="6"/>
    <n v="1776"/>
    <n v="2110"/>
    <n v="12660"/>
    <n v="2004"/>
    <x v="6"/>
  </r>
  <r>
    <x v="72"/>
    <d v="2024-08-31T00:00:00"/>
    <x v="2"/>
    <x v="2"/>
    <x v="2"/>
    <n v="5"/>
    <n v="1852"/>
    <n v="2444"/>
    <n v="12220"/>
    <n v="2960"/>
    <x v="5"/>
  </r>
  <r>
    <x v="73"/>
    <d v="2024-08-04T00:00:00"/>
    <x v="2"/>
    <x v="5"/>
    <x v="3"/>
    <n v="1"/>
    <n v="1854"/>
    <n v="2280"/>
    <n v="2280"/>
    <n v="426"/>
    <x v="2"/>
  </r>
  <r>
    <x v="74"/>
    <d v="2024-06-03T00:00:00"/>
    <x v="0"/>
    <x v="5"/>
    <x v="3"/>
    <n v="2"/>
    <n v="1197"/>
    <n v="2409"/>
    <n v="4818"/>
    <n v="2424"/>
    <x v="7"/>
  </r>
  <r>
    <x v="75"/>
    <d v="2024-03-25T00:00:00"/>
    <x v="11"/>
    <x v="6"/>
    <x v="1"/>
    <n v="6"/>
    <n v="1690"/>
    <n v="2618"/>
    <n v="15708"/>
    <n v="5568"/>
    <x v="5"/>
  </r>
  <r>
    <x v="76"/>
    <d v="2024-06-09T00:00:00"/>
    <x v="0"/>
    <x v="1"/>
    <x v="1"/>
    <n v="5"/>
    <n v="1189"/>
    <n v="1996"/>
    <n v="9980"/>
    <n v="4035"/>
    <x v="0"/>
  </r>
  <r>
    <x v="77"/>
    <d v="2024-10-14T00:00:00"/>
    <x v="4"/>
    <x v="0"/>
    <x v="0"/>
    <n v="3"/>
    <n v="585"/>
    <n v="1190"/>
    <n v="3570"/>
    <n v="1815"/>
    <x v="6"/>
  </r>
  <r>
    <x v="78"/>
    <d v="2024-08-25T00:00:00"/>
    <x v="2"/>
    <x v="1"/>
    <x v="1"/>
    <n v="3"/>
    <n v="1223"/>
    <n v="1822"/>
    <n v="5466"/>
    <n v="1797"/>
    <x v="0"/>
  </r>
  <r>
    <x v="79"/>
    <d v="2024-12-19T00:00:00"/>
    <x v="5"/>
    <x v="6"/>
    <x v="1"/>
    <n v="1"/>
    <n v="1821"/>
    <n v="3018"/>
    <n v="3018"/>
    <n v="1197"/>
    <x v="1"/>
  </r>
  <r>
    <x v="80"/>
    <d v="2024-02-25T00:00:00"/>
    <x v="6"/>
    <x v="1"/>
    <x v="1"/>
    <n v="1"/>
    <n v="1124"/>
    <n v="1918"/>
    <n v="1918"/>
    <n v="794"/>
    <x v="4"/>
  </r>
  <r>
    <x v="81"/>
    <d v="2024-06-10T00:00:00"/>
    <x v="0"/>
    <x v="4"/>
    <x v="1"/>
    <n v="2"/>
    <n v="1983"/>
    <n v="2148"/>
    <n v="4296"/>
    <n v="330"/>
    <x v="0"/>
  </r>
  <r>
    <x v="82"/>
    <d v="2024-05-21T00:00:00"/>
    <x v="8"/>
    <x v="4"/>
    <x v="1"/>
    <n v="1"/>
    <n v="1599"/>
    <n v="2566"/>
    <n v="2566"/>
    <n v="967"/>
    <x v="7"/>
  </r>
  <r>
    <x v="83"/>
    <d v="2024-01-11T00:00:00"/>
    <x v="7"/>
    <x v="4"/>
    <x v="1"/>
    <n v="1"/>
    <n v="806"/>
    <n v="1314"/>
    <n v="1314"/>
    <n v="508"/>
    <x v="1"/>
  </r>
  <r>
    <x v="84"/>
    <d v="2024-12-16T00:00:00"/>
    <x v="5"/>
    <x v="1"/>
    <x v="1"/>
    <n v="6"/>
    <n v="1882"/>
    <n v="2599"/>
    <n v="15594"/>
    <n v="4302"/>
    <x v="3"/>
  </r>
  <r>
    <x v="85"/>
    <d v="2025-01-08T00:00:00"/>
    <x v="7"/>
    <x v="6"/>
    <x v="1"/>
    <n v="4"/>
    <n v="1141"/>
    <n v="2197"/>
    <n v="8788"/>
    <n v="4224"/>
    <x v="7"/>
  </r>
  <r>
    <x v="86"/>
    <d v="2025-01-20T00:00:00"/>
    <x v="7"/>
    <x v="5"/>
    <x v="3"/>
    <n v="6"/>
    <n v="558"/>
    <n v="1964"/>
    <n v="11784"/>
    <n v="8436"/>
    <x v="5"/>
  </r>
  <r>
    <x v="87"/>
    <d v="2025-01-02T00:00:00"/>
    <x v="7"/>
    <x v="5"/>
    <x v="3"/>
    <n v="1"/>
    <n v="732"/>
    <n v="1993"/>
    <n v="1993"/>
    <n v="1261"/>
    <x v="2"/>
  </r>
  <r>
    <x v="88"/>
    <d v="2024-11-25T00:00:00"/>
    <x v="9"/>
    <x v="3"/>
    <x v="3"/>
    <n v="6"/>
    <n v="1322"/>
    <n v="2232"/>
    <n v="13392"/>
    <n v="5460"/>
    <x v="5"/>
  </r>
  <r>
    <x v="89"/>
    <d v="2024-07-20T00:00:00"/>
    <x v="1"/>
    <x v="0"/>
    <x v="0"/>
    <n v="5"/>
    <n v="1393"/>
    <n v="1548"/>
    <n v="7740"/>
    <n v="775"/>
    <x v="7"/>
  </r>
  <r>
    <x v="90"/>
    <d v="2024-06-18T00:00:00"/>
    <x v="0"/>
    <x v="6"/>
    <x v="1"/>
    <n v="4"/>
    <n v="443"/>
    <n v="1903"/>
    <n v="7612"/>
    <n v="5840"/>
    <x v="2"/>
  </r>
  <r>
    <x v="91"/>
    <d v="2024-07-04T00:00:00"/>
    <x v="1"/>
    <x v="6"/>
    <x v="1"/>
    <n v="4"/>
    <n v="339"/>
    <n v="668"/>
    <n v="2672"/>
    <n v="1316"/>
    <x v="6"/>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r>
    <x v="92"/>
    <m/>
    <x v="12"/>
    <x v="8"/>
    <x v="4"/>
    <m/>
    <m/>
    <m/>
    <m/>
    <m/>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AFBF1E-65C0-4FA3-921A-9565F6172375}" name="PivotTable7"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K17:L27" firstHeaderRow="1" firstDataRow="1" firstDataCol="1"/>
  <pivotFields count="11">
    <pivotField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umFmtId="14" showAll="0"/>
    <pivotField showAll="0"/>
    <pivotField showAll="0"/>
    <pivotField showAll="0"/>
    <pivotField showAll="0"/>
    <pivotField showAll="0"/>
    <pivotField dataField="1" showAll="0"/>
    <pivotField showAll="0"/>
    <pivotField showAll="0"/>
    <pivotField axis="axisRow" showAll="0">
      <items count="10">
        <item x="1"/>
        <item x="3"/>
        <item x="2"/>
        <item x="5"/>
        <item x="7"/>
        <item x="4"/>
        <item x="0"/>
        <item x="6"/>
        <item x="8"/>
        <item t="default"/>
      </items>
    </pivotField>
  </pivotFields>
  <rowFields count="1">
    <field x="10"/>
  </rowFields>
  <rowItems count="10">
    <i>
      <x/>
    </i>
    <i>
      <x v="1"/>
    </i>
    <i>
      <x v="2"/>
    </i>
    <i>
      <x v="3"/>
    </i>
    <i>
      <x v="4"/>
    </i>
    <i>
      <x v="5"/>
    </i>
    <i>
      <x v="6"/>
    </i>
    <i>
      <x v="7"/>
    </i>
    <i>
      <x v="8"/>
    </i>
    <i t="grand">
      <x/>
    </i>
  </rowItems>
  <colItems count="1">
    <i/>
  </colItems>
  <dataFields count="1">
    <dataField name="Sum of Sale Price" fld="7"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0914B1-2D78-4E63-B249-70E88930CD3D}" name="PivotTable6"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D16:E30" firstHeaderRow="1" firstDataRow="1" firstDataCol="1"/>
  <pivotFields count="11">
    <pivotField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umFmtId="14" showAll="0"/>
    <pivotField axis="axisRow" showAll="0">
      <items count="14">
        <item x="7"/>
        <item x="6"/>
        <item x="11"/>
        <item x="3"/>
        <item x="8"/>
        <item x="0"/>
        <item x="1"/>
        <item x="2"/>
        <item x="10"/>
        <item x="4"/>
        <item x="9"/>
        <item x="5"/>
        <item x="12"/>
        <item t="default"/>
      </items>
    </pivotField>
    <pivotField showAll="0"/>
    <pivotField showAll="0"/>
    <pivotField showAll="0"/>
    <pivotField showAll="0"/>
    <pivotField dataField="1" showAll="0"/>
    <pivotField showAll="0"/>
    <pivotField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Sale Price" fld="7" baseField="0" baseItem="0"/>
  </dataFields>
  <chartFormats count="3">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7A44BC-CFCE-4E7D-966C-908449E7F816}" name="PivotTable5"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6:B26" firstHeaderRow="1" firstDataRow="1" firstDataCol="1"/>
  <pivotFields count="11">
    <pivotField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umFmtId="14" showAll="0"/>
    <pivotField showAll="0"/>
    <pivotField axis="axisRow" showAll="0">
      <items count="10">
        <item x="7"/>
        <item x="4"/>
        <item x="5"/>
        <item x="6"/>
        <item x="0"/>
        <item x="2"/>
        <item x="3"/>
        <item x="1"/>
        <item x="8"/>
        <item t="default"/>
      </items>
    </pivotField>
    <pivotField showAll="0"/>
    <pivotField showAll="0"/>
    <pivotField showAll="0"/>
    <pivotField dataField="1"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Sale Price" fld="7"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4B34FC-7DEE-4311-A25B-C3EAFF9745F3}" name="PivotTable4"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L2:M8" firstHeaderRow="1" firstDataRow="1" firstDataCol="1"/>
  <pivotFields count="11">
    <pivotField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umFmtId="14" showAll="0"/>
    <pivotField showAll="0"/>
    <pivotField showAll="0"/>
    <pivotField axis="axisRow" showAll="0">
      <items count="6">
        <item x="2"/>
        <item x="1"/>
        <item x="3"/>
        <item x="0"/>
        <item x="4"/>
        <item t="default"/>
      </items>
    </pivotField>
    <pivotField showAll="0"/>
    <pivotField showAll="0"/>
    <pivotField showAll="0"/>
    <pivotField showAll="0"/>
    <pivotField dataField="1" showAll="0"/>
    <pivotField showAll="0"/>
  </pivotFields>
  <rowFields count="1">
    <field x="4"/>
  </rowFields>
  <rowItems count="6">
    <i>
      <x/>
    </i>
    <i>
      <x v="1"/>
    </i>
    <i>
      <x v="2"/>
    </i>
    <i>
      <x v="3"/>
    </i>
    <i>
      <x v="4"/>
    </i>
    <i t="grand">
      <x/>
    </i>
  </rowItems>
  <colItems count="1">
    <i/>
  </colItems>
  <dataFields count="1">
    <dataField name="Sum of Profit" fld="9" baseField="0" baseItem="0"/>
  </dataFields>
  <chartFormats count="6">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1A28AB-C2B4-4E13-A0B8-58CC79D976E5}"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I2:J8" firstHeaderRow="1" firstDataRow="1" firstDataCol="1"/>
  <pivotFields count="11">
    <pivotField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umFmtId="14" showAll="0"/>
    <pivotField showAll="0"/>
    <pivotField showAll="0"/>
    <pivotField axis="axisRow" showAll="0">
      <items count="6">
        <item x="2"/>
        <item x="1"/>
        <item x="3"/>
        <item x="0"/>
        <item x="4"/>
        <item t="default"/>
      </items>
    </pivotField>
    <pivotField showAll="0"/>
    <pivotField dataField="1"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Purchase Price" fld="6" baseField="0" baseItem="0"/>
  </dataFields>
  <chartFormats count="7">
    <chartFormat chart="2"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 chart="12" format="9">
      <pivotArea type="data" outline="0" fieldPosition="0">
        <references count="2">
          <reference field="4294967294" count="1" selected="0">
            <x v="0"/>
          </reference>
          <reference field="4" count="1" selected="0">
            <x v="2"/>
          </reference>
        </references>
      </pivotArea>
    </chartFormat>
    <chartFormat chart="1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958C07-1964-47A2-975F-19543D9367F3}" name="PivotTable2"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F2:G8" firstHeaderRow="1" firstDataRow="1" firstDataCol="1"/>
  <pivotFields count="11">
    <pivotField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umFmtId="14" showAll="0"/>
    <pivotField showAll="0"/>
    <pivotField showAll="0"/>
    <pivotField axis="axisRow" showAll="0">
      <items count="6">
        <item x="2"/>
        <item x="1"/>
        <item x="3"/>
        <item x="0"/>
        <item x="4"/>
        <item t="default"/>
      </items>
    </pivotField>
    <pivotField showAll="0"/>
    <pivotField showAll="0"/>
    <pivotField dataField="1" showAll="0"/>
    <pivotField showAll="0"/>
    <pivotField showAll="0"/>
    <pivotField showAll="0"/>
  </pivotFields>
  <rowFields count="1">
    <field x="4"/>
  </rowFields>
  <rowItems count="6">
    <i>
      <x/>
    </i>
    <i>
      <x v="1"/>
    </i>
    <i>
      <x v="2"/>
    </i>
    <i>
      <x v="3"/>
    </i>
    <i>
      <x v="4"/>
    </i>
    <i t="grand">
      <x/>
    </i>
  </rowItems>
  <colItems count="1">
    <i/>
  </colItems>
  <dataFields count="1">
    <dataField name="Sum of Sale Price" fld="7"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5BD5CD-7FF8-483A-93CE-025C384F0048}" name="PivotTable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C2:D8" firstHeaderRow="1" firstDataRow="1" firstDataCol="1"/>
  <pivotFields count="11">
    <pivotField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umFmtId="14" showAll="0"/>
    <pivotField showAll="0"/>
    <pivotField showAll="0"/>
    <pivotField axis="axisRow" showAll="0">
      <items count="6">
        <item x="2"/>
        <item x="1"/>
        <item x="3"/>
        <item x="0"/>
        <item x="4"/>
        <item t="default"/>
      </items>
    </pivotField>
    <pivotField dataField="1"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Quantity" fld="5" baseField="0" baseItem="0"/>
  </dataFields>
  <chartFormats count="6">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A9A363A7-018D-4383-8809-A25E6C583389}" sourceName="Order ID">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623101008">
      <items count="93">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ID" xr10:uid="{9B516670-A69C-4B59-BE5A-890055AF6F0A}" cache="Slicer_Order_ID" caption="Order I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ID 1" xr10:uid="{285F3E26-A3AD-43A5-9D8E-EF2A4F66ECDE}" cache="Slicer_Order_ID" caption="Order ID"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C4899-5CDB-4B18-9336-4E7847B84DD4}">
  <dimension ref="A1:O30"/>
  <sheetViews>
    <sheetView workbookViewId="0">
      <selection activeCell="C4" sqref="C4"/>
    </sheetView>
  </sheetViews>
  <sheetFormatPr defaultRowHeight="15" x14ac:dyDescent="0.25"/>
  <cols>
    <col min="1" max="1" width="17.85546875" bestFit="1" customWidth="1"/>
    <col min="2" max="2" width="16.28515625" bestFit="1" customWidth="1"/>
    <col min="3" max="4" width="13.140625" bestFit="1" customWidth="1"/>
    <col min="5" max="5" width="16.28515625" bestFit="1" customWidth="1"/>
    <col min="6" max="6" width="13.140625" bestFit="1" customWidth="1"/>
    <col min="7" max="7" width="16.28515625" bestFit="1" customWidth="1"/>
    <col min="8" max="8" width="15.5703125" bestFit="1" customWidth="1"/>
    <col min="9" max="9" width="13.140625" bestFit="1" customWidth="1"/>
    <col min="10" max="10" width="20.7109375" bestFit="1" customWidth="1"/>
    <col min="11" max="11" width="15.7109375" bestFit="1" customWidth="1"/>
    <col min="12" max="12" width="16.28515625" bestFit="1" customWidth="1"/>
    <col min="13" max="13" width="12.5703125" bestFit="1" customWidth="1"/>
    <col min="14" max="14" width="15.7109375" bestFit="1" customWidth="1"/>
    <col min="15" max="15" width="16.28515625" bestFit="1" customWidth="1"/>
  </cols>
  <sheetData>
    <row r="1" spans="1:13" x14ac:dyDescent="0.25">
      <c r="D1">
        <f>GETPIVOTDATA("Quantity",$C$2)</f>
        <v>323</v>
      </c>
      <c r="G1">
        <f>GETPIVOTDATA("Sale Price",$F$2)</f>
        <v>180054</v>
      </c>
      <c r="J1">
        <f>GETPIVOTDATA("Purchase Price",$I$2)</f>
        <v>102208</v>
      </c>
      <c r="M1">
        <f>GETPIVOTDATA("Profit",$L$2)</f>
        <v>275723</v>
      </c>
    </row>
    <row r="2" spans="1:13" x14ac:dyDescent="0.25">
      <c r="C2" s="6" t="s">
        <v>44</v>
      </c>
      <c r="D2" t="s">
        <v>46</v>
      </c>
      <c r="F2" s="6" t="s">
        <v>44</v>
      </c>
      <c r="G2" t="s">
        <v>47</v>
      </c>
      <c r="I2" s="6" t="s">
        <v>44</v>
      </c>
      <c r="J2" t="s">
        <v>48</v>
      </c>
      <c r="L2" s="6" t="s">
        <v>44</v>
      </c>
      <c r="M2" t="s">
        <v>43</v>
      </c>
    </row>
    <row r="3" spans="1:13" x14ac:dyDescent="0.25">
      <c r="C3" s="7" t="s">
        <v>26</v>
      </c>
      <c r="D3" s="4">
        <v>66</v>
      </c>
      <c r="F3" s="7" t="s">
        <v>26</v>
      </c>
      <c r="G3" s="4">
        <v>25488</v>
      </c>
      <c r="I3" s="7" t="s">
        <v>26</v>
      </c>
      <c r="J3" s="4">
        <v>13699</v>
      </c>
      <c r="L3" s="7" t="s">
        <v>26</v>
      </c>
      <c r="M3" s="4">
        <v>50973</v>
      </c>
    </row>
    <row r="4" spans="1:13" x14ac:dyDescent="0.25">
      <c r="C4" s="7" t="s">
        <v>11</v>
      </c>
      <c r="D4" s="4">
        <v>138</v>
      </c>
      <c r="F4" s="7" t="s">
        <v>11</v>
      </c>
      <c r="G4" s="4">
        <v>82007</v>
      </c>
      <c r="I4" s="7" t="s">
        <v>11</v>
      </c>
      <c r="J4" s="4">
        <v>46835</v>
      </c>
      <c r="L4" s="7" t="s">
        <v>11</v>
      </c>
      <c r="M4" s="4">
        <v>120158</v>
      </c>
    </row>
    <row r="5" spans="1:13" x14ac:dyDescent="0.25">
      <c r="C5" s="7" t="s">
        <v>17</v>
      </c>
      <c r="D5" s="4">
        <v>84</v>
      </c>
      <c r="F5" s="7" t="s">
        <v>17</v>
      </c>
      <c r="G5" s="4">
        <v>54414</v>
      </c>
      <c r="I5" s="7" t="s">
        <v>17</v>
      </c>
      <c r="J5" s="4">
        <v>31183</v>
      </c>
      <c r="L5" s="7" t="s">
        <v>17</v>
      </c>
      <c r="M5" s="4">
        <v>76891</v>
      </c>
    </row>
    <row r="6" spans="1:13" x14ac:dyDescent="0.25">
      <c r="C6" s="7" t="s">
        <v>23</v>
      </c>
      <c r="D6" s="4">
        <v>35</v>
      </c>
      <c r="F6" s="7" t="s">
        <v>23</v>
      </c>
      <c r="G6" s="4">
        <v>18145</v>
      </c>
      <c r="I6" s="7" t="s">
        <v>23</v>
      </c>
      <c r="J6" s="4">
        <v>10491</v>
      </c>
      <c r="L6" s="7" t="s">
        <v>23</v>
      </c>
      <c r="M6" s="4">
        <v>27701</v>
      </c>
    </row>
    <row r="7" spans="1:13" x14ac:dyDescent="0.25">
      <c r="C7" s="7" t="s">
        <v>49</v>
      </c>
      <c r="D7" s="4"/>
      <c r="F7" s="7" t="s">
        <v>49</v>
      </c>
      <c r="G7" s="4"/>
      <c r="I7" s="7" t="s">
        <v>49</v>
      </c>
      <c r="J7" s="4"/>
      <c r="L7" s="7" t="s">
        <v>49</v>
      </c>
      <c r="M7" s="4"/>
    </row>
    <row r="8" spans="1:13" x14ac:dyDescent="0.25">
      <c r="C8" s="7" t="s">
        <v>45</v>
      </c>
      <c r="D8" s="4">
        <v>323</v>
      </c>
      <c r="F8" s="7" t="s">
        <v>45</v>
      </c>
      <c r="G8" s="4">
        <v>180054</v>
      </c>
      <c r="I8" s="7" t="s">
        <v>45</v>
      </c>
      <c r="J8" s="4">
        <v>102208</v>
      </c>
      <c r="L8" s="7" t="s">
        <v>45</v>
      </c>
      <c r="M8" s="4">
        <v>275723</v>
      </c>
    </row>
    <row r="16" spans="1:13" x14ac:dyDescent="0.25">
      <c r="A16" s="6" t="s">
        <v>44</v>
      </c>
      <c r="B16" t="s">
        <v>47</v>
      </c>
      <c r="D16" s="6" t="s">
        <v>44</v>
      </c>
      <c r="E16" t="s">
        <v>47</v>
      </c>
    </row>
    <row r="17" spans="1:15" x14ac:dyDescent="0.25">
      <c r="A17" s="7" t="s">
        <v>25</v>
      </c>
      <c r="B17" s="4">
        <v>6435</v>
      </c>
      <c r="D17" s="7" t="s">
        <v>36</v>
      </c>
      <c r="E17" s="4">
        <v>33133</v>
      </c>
      <c r="H17" s="5" t="s">
        <v>44</v>
      </c>
      <c r="I17" s="5" t="s">
        <v>47</v>
      </c>
      <c r="K17" s="6" t="s">
        <v>44</v>
      </c>
      <c r="L17" t="s">
        <v>47</v>
      </c>
      <c r="N17" s="5" t="s">
        <v>44</v>
      </c>
      <c r="O17" s="5" t="s">
        <v>47</v>
      </c>
    </row>
    <row r="18" spans="1:15" x14ac:dyDescent="0.25">
      <c r="A18" s="7" t="s">
        <v>14</v>
      </c>
      <c r="B18" s="4">
        <v>17136</v>
      </c>
      <c r="D18" s="7" t="s">
        <v>35</v>
      </c>
      <c r="E18" s="4">
        <v>9321</v>
      </c>
      <c r="H18" s="7" t="s">
        <v>25</v>
      </c>
      <c r="I18">
        <f>GETPIVOTDATA("Sale Price",$A$16,"Product Name",H18)</f>
        <v>6435</v>
      </c>
      <c r="K18" s="7" t="s">
        <v>12</v>
      </c>
      <c r="L18" s="4">
        <v>18362</v>
      </c>
      <c r="N18" s="7" t="s">
        <v>12</v>
      </c>
      <c r="O18">
        <f>GETPIVOTDATA("Sale Price",$K$17,"State",N18)</f>
        <v>18362</v>
      </c>
    </row>
    <row r="19" spans="1:15" x14ac:dyDescent="0.25">
      <c r="A19" s="7" t="s">
        <v>19</v>
      </c>
      <c r="B19" s="4">
        <v>27492</v>
      </c>
      <c r="D19" s="7" t="s">
        <v>41</v>
      </c>
      <c r="E19" s="4">
        <v>7572</v>
      </c>
      <c r="H19" s="7" t="s">
        <v>14</v>
      </c>
      <c r="I19">
        <f t="shared" ref="I19:I25" si="0">GETPIVOTDATA("Sale Price",$A$16,"Product Name",H19)</f>
        <v>17136</v>
      </c>
      <c r="K19" s="7" t="s">
        <v>24</v>
      </c>
      <c r="L19" s="4">
        <v>18527</v>
      </c>
      <c r="N19" s="7" t="s">
        <v>24</v>
      </c>
      <c r="O19">
        <f t="shared" ref="O19:O25" si="1">GETPIVOTDATA("Sale Price",$K$17,"State",N19)</f>
        <v>18527</v>
      </c>
    </row>
    <row r="20" spans="1:15" x14ac:dyDescent="0.25">
      <c r="A20" s="7" t="s">
        <v>27</v>
      </c>
      <c r="B20" s="4">
        <v>18820</v>
      </c>
      <c r="D20" s="7" t="s">
        <v>31</v>
      </c>
      <c r="E20" s="4">
        <v>13752</v>
      </c>
      <c r="H20" s="7" t="s">
        <v>19</v>
      </c>
      <c r="I20">
        <f t="shared" si="0"/>
        <v>27492</v>
      </c>
      <c r="K20" s="7" t="s">
        <v>20</v>
      </c>
      <c r="L20" s="4">
        <v>26503</v>
      </c>
      <c r="N20" s="7" t="s">
        <v>20</v>
      </c>
      <c r="O20">
        <f t="shared" si="1"/>
        <v>26503</v>
      </c>
    </row>
    <row r="21" spans="1:15" x14ac:dyDescent="0.25">
      <c r="A21" s="7" t="s">
        <v>22</v>
      </c>
      <c r="B21" s="4">
        <v>18145</v>
      </c>
      <c r="D21" s="7" t="s">
        <v>38</v>
      </c>
      <c r="E21" s="4">
        <v>11450</v>
      </c>
      <c r="H21" s="7" t="s">
        <v>27</v>
      </c>
      <c r="I21">
        <f t="shared" si="0"/>
        <v>18820</v>
      </c>
      <c r="K21" s="7" t="s">
        <v>18</v>
      </c>
      <c r="L21" s="4">
        <v>33739</v>
      </c>
      <c r="N21" s="7" t="s">
        <v>18</v>
      </c>
      <c r="O21">
        <f t="shared" si="1"/>
        <v>33739</v>
      </c>
    </row>
    <row r="22" spans="1:15" x14ac:dyDescent="0.25">
      <c r="A22" s="7" t="s">
        <v>29</v>
      </c>
      <c r="B22" s="4">
        <v>19053</v>
      </c>
      <c r="D22" s="7" t="s">
        <v>40</v>
      </c>
      <c r="E22" s="4">
        <v>19222</v>
      </c>
      <c r="H22" s="7" t="s">
        <v>22</v>
      </c>
      <c r="I22">
        <f t="shared" si="0"/>
        <v>18145</v>
      </c>
      <c r="K22" s="7" t="s">
        <v>15</v>
      </c>
      <c r="L22" s="4">
        <v>16132</v>
      </c>
      <c r="N22" s="7" t="s">
        <v>15</v>
      </c>
      <c r="O22">
        <f t="shared" si="1"/>
        <v>16132</v>
      </c>
    </row>
    <row r="23" spans="1:15" x14ac:dyDescent="0.25">
      <c r="A23" s="7" t="s">
        <v>16</v>
      </c>
      <c r="B23" s="4">
        <v>26922</v>
      </c>
      <c r="D23" s="7" t="s">
        <v>42</v>
      </c>
      <c r="E23" s="4">
        <v>8849</v>
      </c>
      <c r="H23" s="7" t="s">
        <v>29</v>
      </c>
      <c r="I23">
        <f t="shared" si="0"/>
        <v>19053</v>
      </c>
      <c r="K23" s="7" t="s">
        <v>28</v>
      </c>
      <c r="L23" s="4">
        <v>24805</v>
      </c>
      <c r="N23" s="7" t="s">
        <v>28</v>
      </c>
      <c r="O23">
        <f t="shared" si="1"/>
        <v>24805</v>
      </c>
    </row>
    <row r="24" spans="1:15" x14ac:dyDescent="0.25">
      <c r="A24" s="7" t="s">
        <v>10</v>
      </c>
      <c r="B24" s="4">
        <v>46051</v>
      </c>
      <c r="D24" s="7" t="s">
        <v>34</v>
      </c>
      <c r="E24" s="4">
        <v>19472</v>
      </c>
      <c r="H24" s="7" t="s">
        <v>16</v>
      </c>
      <c r="I24">
        <f t="shared" si="0"/>
        <v>26922</v>
      </c>
      <c r="K24" s="7" t="s">
        <v>13</v>
      </c>
      <c r="L24" s="4">
        <v>27539</v>
      </c>
      <c r="N24" s="7" t="s">
        <v>13</v>
      </c>
      <c r="O24">
        <f t="shared" si="1"/>
        <v>27539</v>
      </c>
    </row>
    <row r="25" spans="1:15" x14ac:dyDescent="0.25">
      <c r="A25" s="7" t="s">
        <v>49</v>
      </c>
      <c r="B25" s="4"/>
      <c r="D25" s="7" t="s">
        <v>33</v>
      </c>
      <c r="E25" s="4">
        <v>10155</v>
      </c>
      <c r="H25" s="7" t="s">
        <v>10</v>
      </c>
      <c r="I25">
        <f t="shared" si="0"/>
        <v>46051</v>
      </c>
      <c r="K25" s="7" t="s">
        <v>21</v>
      </c>
      <c r="L25" s="4">
        <v>14447</v>
      </c>
      <c r="N25" s="7" t="s">
        <v>21</v>
      </c>
      <c r="O25">
        <f t="shared" si="1"/>
        <v>14447</v>
      </c>
    </row>
    <row r="26" spans="1:15" x14ac:dyDescent="0.25">
      <c r="A26" s="7" t="s">
        <v>45</v>
      </c>
      <c r="B26" s="4">
        <v>180054</v>
      </c>
      <c r="D26" s="7" t="s">
        <v>32</v>
      </c>
      <c r="E26" s="4">
        <v>15510</v>
      </c>
      <c r="K26" s="7" t="s">
        <v>49</v>
      </c>
      <c r="L26" s="4"/>
    </row>
    <row r="27" spans="1:15" x14ac:dyDescent="0.25">
      <c r="D27" s="7" t="s">
        <v>37</v>
      </c>
      <c r="E27" s="4">
        <v>8419</v>
      </c>
      <c r="K27" s="7" t="s">
        <v>45</v>
      </c>
      <c r="L27" s="4">
        <v>180054</v>
      </c>
    </row>
    <row r="28" spans="1:15" x14ac:dyDescent="0.25">
      <c r="D28" s="7" t="s">
        <v>39</v>
      </c>
      <c r="E28" s="4">
        <v>23199</v>
      </c>
      <c r="K28" s="7"/>
    </row>
    <row r="29" spans="1:15" x14ac:dyDescent="0.25">
      <c r="D29" s="7" t="s">
        <v>49</v>
      </c>
      <c r="E29" s="4"/>
      <c r="K29" s="7"/>
    </row>
    <row r="30" spans="1:15" x14ac:dyDescent="0.25">
      <c r="D30" s="7" t="s">
        <v>45</v>
      </c>
      <c r="E30" s="4">
        <v>180054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5475-3391-4BE4-B5C8-12530744AD29}">
  <dimension ref="A1:K161"/>
  <sheetViews>
    <sheetView workbookViewId="0">
      <selection activeCell="A5" sqref="A5"/>
    </sheetView>
  </sheetViews>
  <sheetFormatPr defaultColWidth="17.140625" defaultRowHeight="15" x14ac:dyDescent="0.25"/>
  <cols>
    <col min="1" max="1" width="8.42578125" style="2" bestFit="1" customWidth="1"/>
    <col min="2" max="2" width="10.7109375" style="2" bestFit="1" customWidth="1"/>
    <col min="3" max="3" width="7" style="2" bestFit="1" customWidth="1"/>
    <col min="4" max="4" width="17.85546875" style="2" bestFit="1" customWidth="1"/>
    <col min="5" max="5" width="11.28515625" style="2" bestFit="1" customWidth="1"/>
    <col min="6" max="6" width="8.7109375" style="2" bestFit="1" customWidth="1"/>
    <col min="7" max="7" width="14" style="2" bestFit="1" customWidth="1"/>
    <col min="8" max="8" width="9.5703125" style="2" bestFit="1" customWidth="1"/>
    <col min="9" max="9" width="8.85546875" style="2" bestFit="1" customWidth="1"/>
    <col min="10" max="10" width="9.42578125" style="2" customWidth="1"/>
    <col min="11" max="11" width="19.140625" style="2" customWidth="1"/>
    <col min="12" max="16384" width="17.140625" style="2"/>
  </cols>
  <sheetData>
    <row r="1" spans="1:11" x14ac:dyDescent="0.25">
      <c r="A1" s="1" t="s">
        <v>0</v>
      </c>
      <c r="B1" s="1" t="s">
        <v>1</v>
      </c>
      <c r="C1" s="1" t="s">
        <v>30</v>
      </c>
      <c r="D1" s="1" t="s">
        <v>2</v>
      </c>
      <c r="E1" s="1" t="s">
        <v>3</v>
      </c>
      <c r="F1" s="1" t="s">
        <v>4</v>
      </c>
      <c r="G1" s="1" t="s">
        <v>5</v>
      </c>
      <c r="H1" s="1" t="s">
        <v>6</v>
      </c>
      <c r="I1" s="1" t="s">
        <v>7</v>
      </c>
      <c r="J1" s="1" t="s">
        <v>8</v>
      </c>
      <c r="K1" s="1" t="s">
        <v>9</v>
      </c>
    </row>
    <row r="2" spans="1:11" x14ac:dyDescent="0.25">
      <c r="A2" s="2">
        <v>1004</v>
      </c>
      <c r="B2" s="3">
        <v>45451</v>
      </c>
      <c r="C2" s="3" t="s">
        <v>40</v>
      </c>
      <c r="D2" s="2" t="s">
        <v>22</v>
      </c>
      <c r="E2" s="2" t="s">
        <v>23</v>
      </c>
      <c r="F2" s="2">
        <v>3</v>
      </c>
      <c r="G2" s="2">
        <v>521</v>
      </c>
      <c r="H2" s="2">
        <v>1806</v>
      </c>
      <c r="I2" s="2">
        <v>5418</v>
      </c>
      <c r="J2" s="2">
        <v>3855</v>
      </c>
      <c r="K2" s="2" t="s">
        <v>13</v>
      </c>
    </row>
    <row r="3" spans="1:11" x14ac:dyDescent="0.25">
      <c r="A3" s="2">
        <v>1005</v>
      </c>
      <c r="B3" s="3">
        <v>45481</v>
      </c>
      <c r="C3" s="3" t="s">
        <v>42</v>
      </c>
      <c r="D3" s="2" t="s">
        <v>10</v>
      </c>
      <c r="E3" s="2" t="s">
        <v>11</v>
      </c>
      <c r="F3" s="2">
        <v>6</v>
      </c>
      <c r="G3" s="2">
        <v>605</v>
      </c>
      <c r="H3" s="2">
        <v>1822</v>
      </c>
      <c r="I3" s="2">
        <v>10932</v>
      </c>
      <c r="J3" s="2">
        <v>7302</v>
      </c>
      <c r="K3" s="2" t="s">
        <v>12</v>
      </c>
    </row>
    <row r="4" spans="1:11" x14ac:dyDescent="0.25">
      <c r="A4" s="2">
        <v>1006</v>
      </c>
      <c r="B4" s="3">
        <v>45513</v>
      </c>
      <c r="C4" s="3" t="s">
        <v>34</v>
      </c>
      <c r="D4" s="2" t="s">
        <v>29</v>
      </c>
      <c r="E4" s="2" t="s">
        <v>26</v>
      </c>
      <c r="F4" s="2">
        <v>4</v>
      </c>
      <c r="G4" s="2">
        <v>464</v>
      </c>
      <c r="H4" s="2">
        <v>1788</v>
      </c>
      <c r="I4" s="2">
        <v>7152</v>
      </c>
      <c r="J4" s="2">
        <v>5296</v>
      </c>
      <c r="K4" s="2" t="s">
        <v>20</v>
      </c>
    </row>
    <row r="5" spans="1:11" x14ac:dyDescent="0.25">
      <c r="A5" s="2">
        <v>1008</v>
      </c>
      <c r="B5" s="3">
        <v>45409</v>
      </c>
      <c r="C5" s="3" t="s">
        <v>31</v>
      </c>
      <c r="D5" s="2" t="s">
        <v>16</v>
      </c>
      <c r="E5" s="2" t="s">
        <v>17</v>
      </c>
      <c r="F5" s="2">
        <v>1</v>
      </c>
      <c r="G5" s="2">
        <v>445</v>
      </c>
      <c r="H5" s="2">
        <v>1837</v>
      </c>
      <c r="I5" s="2">
        <v>1837</v>
      </c>
      <c r="J5" s="2">
        <v>1392</v>
      </c>
      <c r="K5" s="2" t="s">
        <v>24</v>
      </c>
    </row>
    <row r="6" spans="1:11" x14ac:dyDescent="0.25">
      <c r="A6" s="2">
        <v>1009</v>
      </c>
      <c r="B6" s="3">
        <v>45596</v>
      </c>
      <c r="C6" s="3" t="s">
        <v>32</v>
      </c>
      <c r="D6" s="2" t="s">
        <v>14</v>
      </c>
      <c r="E6" s="2" t="s">
        <v>11</v>
      </c>
      <c r="F6" s="2">
        <v>5</v>
      </c>
      <c r="G6" s="2">
        <v>464</v>
      </c>
      <c r="H6" s="2">
        <v>944</v>
      </c>
      <c r="I6" s="2">
        <v>4720</v>
      </c>
      <c r="J6" s="2">
        <v>2400</v>
      </c>
      <c r="K6" s="2" t="s">
        <v>24</v>
      </c>
    </row>
    <row r="7" spans="1:11" x14ac:dyDescent="0.25">
      <c r="A7" s="2">
        <v>1010</v>
      </c>
      <c r="B7" s="3">
        <v>45643</v>
      </c>
      <c r="C7" s="3" t="s">
        <v>39</v>
      </c>
      <c r="D7" s="2" t="s">
        <v>19</v>
      </c>
      <c r="E7" s="2" t="s">
        <v>17</v>
      </c>
      <c r="F7" s="2">
        <v>6</v>
      </c>
      <c r="G7" s="2">
        <v>879</v>
      </c>
      <c r="H7" s="2">
        <v>1908</v>
      </c>
      <c r="I7" s="2">
        <v>11448</v>
      </c>
      <c r="J7" s="2">
        <v>6174</v>
      </c>
      <c r="K7" s="2" t="s">
        <v>28</v>
      </c>
    </row>
    <row r="8" spans="1:11" x14ac:dyDescent="0.25">
      <c r="A8" s="2">
        <v>1011</v>
      </c>
      <c r="B8" s="3">
        <v>45335</v>
      </c>
      <c r="C8" s="3" t="s">
        <v>35</v>
      </c>
      <c r="D8" s="2" t="s">
        <v>16</v>
      </c>
      <c r="E8" s="2" t="s">
        <v>17</v>
      </c>
      <c r="F8" s="2">
        <v>1</v>
      </c>
      <c r="G8" s="2">
        <v>793</v>
      </c>
      <c r="H8" s="2">
        <v>2054</v>
      </c>
      <c r="I8" s="2">
        <v>2054</v>
      </c>
      <c r="J8" s="2">
        <v>1261</v>
      </c>
      <c r="K8" s="2" t="s">
        <v>18</v>
      </c>
    </row>
    <row r="9" spans="1:11" x14ac:dyDescent="0.25">
      <c r="A9" s="2">
        <v>1012</v>
      </c>
      <c r="B9" s="3">
        <v>45594</v>
      </c>
      <c r="C9" s="3" t="s">
        <v>32</v>
      </c>
      <c r="D9" s="2" t="s">
        <v>10</v>
      </c>
      <c r="E9" s="2" t="s">
        <v>11</v>
      </c>
      <c r="F9" s="2">
        <v>6</v>
      </c>
      <c r="G9" s="2">
        <v>1816</v>
      </c>
      <c r="H9" s="2">
        <v>3032</v>
      </c>
      <c r="I9" s="2">
        <v>18192</v>
      </c>
      <c r="J9" s="2">
        <v>7296</v>
      </c>
      <c r="K9" s="2" t="s">
        <v>13</v>
      </c>
    </row>
    <row r="10" spans="1:11" x14ac:dyDescent="0.25">
      <c r="A10" s="2">
        <v>1013</v>
      </c>
      <c r="B10" s="3">
        <v>45629</v>
      </c>
      <c r="C10" s="3" t="s">
        <v>39</v>
      </c>
      <c r="D10" s="2" t="s">
        <v>29</v>
      </c>
      <c r="E10" s="2" t="s">
        <v>26</v>
      </c>
      <c r="F10" s="2">
        <v>4</v>
      </c>
      <c r="G10" s="2">
        <v>689</v>
      </c>
      <c r="H10" s="2">
        <v>982</v>
      </c>
      <c r="I10" s="2">
        <v>3928</v>
      </c>
      <c r="J10" s="2">
        <v>1172</v>
      </c>
      <c r="K10" s="2" t="s">
        <v>13</v>
      </c>
    </row>
    <row r="11" spans="1:11" x14ac:dyDescent="0.25">
      <c r="A11" s="2">
        <v>1014</v>
      </c>
      <c r="B11" s="3">
        <v>45339</v>
      </c>
      <c r="C11" s="3" t="s">
        <v>35</v>
      </c>
      <c r="D11" s="2" t="s">
        <v>19</v>
      </c>
      <c r="E11" s="2" t="s">
        <v>17</v>
      </c>
      <c r="F11" s="2">
        <v>2</v>
      </c>
      <c r="G11" s="2">
        <v>740</v>
      </c>
      <c r="H11" s="2">
        <v>1529</v>
      </c>
      <c r="I11" s="2">
        <v>3058</v>
      </c>
      <c r="J11" s="2">
        <v>1578</v>
      </c>
      <c r="K11" s="2" t="s">
        <v>13</v>
      </c>
    </row>
    <row r="12" spans="1:11" x14ac:dyDescent="0.25">
      <c r="A12" s="2">
        <v>1015</v>
      </c>
      <c r="B12" s="3">
        <v>45580</v>
      </c>
      <c r="C12" s="3" t="s">
        <v>32</v>
      </c>
      <c r="D12" s="2" t="s">
        <v>16</v>
      </c>
      <c r="E12" s="2" t="s">
        <v>17</v>
      </c>
      <c r="F12" s="2">
        <v>2</v>
      </c>
      <c r="G12" s="2">
        <v>1269</v>
      </c>
      <c r="H12" s="2">
        <v>2740</v>
      </c>
      <c r="I12" s="2">
        <v>5480</v>
      </c>
      <c r="J12" s="2">
        <v>2942</v>
      </c>
      <c r="K12" s="2" t="s">
        <v>28</v>
      </c>
    </row>
    <row r="13" spans="1:11" x14ac:dyDescent="0.25">
      <c r="A13" s="2">
        <v>1016</v>
      </c>
      <c r="B13" s="3">
        <v>45661</v>
      </c>
      <c r="C13" s="3" t="s">
        <v>36</v>
      </c>
      <c r="D13" s="2" t="s">
        <v>19</v>
      </c>
      <c r="E13" s="2" t="s">
        <v>17</v>
      </c>
      <c r="F13" s="2">
        <v>3</v>
      </c>
      <c r="G13" s="2">
        <v>814</v>
      </c>
      <c r="H13" s="2">
        <v>1386</v>
      </c>
      <c r="I13" s="2">
        <v>4158</v>
      </c>
      <c r="J13" s="2">
        <v>1716</v>
      </c>
      <c r="K13" s="2" t="s">
        <v>28</v>
      </c>
    </row>
    <row r="14" spans="1:11" x14ac:dyDescent="0.25">
      <c r="A14" s="2">
        <v>1017</v>
      </c>
      <c r="B14" s="3">
        <v>45629</v>
      </c>
      <c r="C14" s="3" t="s">
        <v>39</v>
      </c>
      <c r="D14" s="2" t="s">
        <v>10</v>
      </c>
      <c r="E14" s="2" t="s">
        <v>11</v>
      </c>
      <c r="F14" s="2">
        <v>5</v>
      </c>
      <c r="G14" s="2">
        <v>1868</v>
      </c>
      <c r="H14" s="2">
        <v>2225</v>
      </c>
      <c r="I14" s="2">
        <v>11125</v>
      </c>
      <c r="J14" s="2">
        <v>1785</v>
      </c>
      <c r="K14" s="2" t="s">
        <v>18</v>
      </c>
    </row>
    <row r="15" spans="1:11" x14ac:dyDescent="0.25">
      <c r="A15" s="2">
        <v>1018</v>
      </c>
      <c r="B15" s="3">
        <v>45508</v>
      </c>
      <c r="C15" s="3" t="s">
        <v>34</v>
      </c>
      <c r="D15" s="2" t="s">
        <v>16</v>
      </c>
      <c r="E15" s="2" t="s">
        <v>17</v>
      </c>
      <c r="F15" s="2">
        <v>2</v>
      </c>
      <c r="G15" s="2">
        <v>1398</v>
      </c>
      <c r="H15" s="2">
        <v>2416</v>
      </c>
      <c r="I15" s="2">
        <v>4832</v>
      </c>
      <c r="J15" s="2">
        <v>2036</v>
      </c>
      <c r="K15" s="2" t="s">
        <v>12</v>
      </c>
    </row>
    <row r="16" spans="1:11" x14ac:dyDescent="0.25">
      <c r="A16" s="2">
        <v>1020</v>
      </c>
      <c r="B16" s="3">
        <v>45428</v>
      </c>
      <c r="C16" s="3" t="s">
        <v>38</v>
      </c>
      <c r="D16" s="2" t="s">
        <v>10</v>
      </c>
      <c r="E16" s="2" t="s">
        <v>11</v>
      </c>
      <c r="F16" s="2">
        <v>5</v>
      </c>
      <c r="G16" s="2">
        <v>760</v>
      </c>
      <c r="H16" s="2">
        <v>2186</v>
      </c>
      <c r="I16" s="2">
        <v>10930</v>
      </c>
      <c r="J16" s="2">
        <v>7130</v>
      </c>
      <c r="K16" s="2" t="s">
        <v>12</v>
      </c>
    </row>
    <row r="17" spans="1:11" x14ac:dyDescent="0.25">
      <c r="A17" s="2">
        <v>1021</v>
      </c>
      <c r="B17" s="3">
        <v>45528</v>
      </c>
      <c r="C17" s="3" t="s">
        <v>34</v>
      </c>
      <c r="D17" s="2" t="s">
        <v>22</v>
      </c>
      <c r="E17" s="2" t="s">
        <v>23</v>
      </c>
      <c r="F17" s="2">
        <v>5</v>
      </c>
      <c r="G17" s="2">
        <v>1793</v>
      </c>
      <c r="H17" s="2">
        <v>2394</v>
      </c>
      <c r="I17" s="2">
        <v>11970</v>
      </c>
      <c r="J17" s="2">
        <v>3005</v>
      </c>
      <c r="K17" s="2" t="s">
        <v>13</v>
      </c>
    </row>
    <row r="18" spans="1:11" x14ac:dyDescent="0.25">
      <c r="A18" s="2">
        <v>1022</v>
      </c>
      <c r="B18" s="3">
        <v>45602</v>
      </c>
      <c r="C18" s="3" t="s">
        <v>37</v>
      </c>
      <c r="D18" s="2" t="s">
        <v>29</v>
      </c>
      <c r="E18" s="2" t="s">
        <v>26</v>
      </c>
      <c r="F18" s="2">
        <v>6</v>
      </c>
      <c r="G18" s="2">
        <v>824</v>
      </c>
      <c r="H18" s="2">
        <v>1679</v>
      </c>
      <c r="I18" s="2">
        <v>10074</v>
      </c>
      <c r="J18" s="2">
        <v>5130</v>
      </c>
      <c r="K18" s="2" t="s">
        <v>24</v>
      </c>
    </row>
    <row r="19" spans="1:11" x14ac:dyDescent="0.25">
      <c r="A19" s="2">
        <v>1023</v>
      </c>
      <c r="B19" s="3">
        <v>45667</v>
      </c>
      <c r="C19" s="3" t="s">
        <v>36</v>
      </c>
      <c r="D19" s="2" t="s">
        <v>29</v>
      </c>
      <c r="E19" s="2" t="s">
        <v>26</v>
      </c>
      <c r="F19" s="2">
        <v>6</v>
      </c>
      <c r="G19" s="2">
        <v>613</v>
      </c>
      <c r="H19" s="2">
        <v>1604</v>
      </c>
      <c r="I19" s="2">
        <v>9624</v>
      </c>
      <c r="J19" s="2">
        <v>5946</v>
      </c>
      <c r="K19" s="2" t="s">
        <v>21</v>
      </c>
    </row>
    <row r="20" spans="1:11" x14ac:dyDescent="0.25">
      <c r="A20" s="2">
        <v>1024</v>
      </c>
      <c r="B20" s="3">
        <v>45541</v>
      </c>
      <c r="C20" s="3" t="s">
        <v>33</v>
      </c>
      <c r="D20" s="2" t="s">
        <v>27</v>
      </c>
      <c r="E20" s="2" t="s">
        <v>11</v>
      </c>
      <c r="F20" s="2">
        <v>1</v>
      </c>
      <c r="G20" s="2">
        <v>1312</v>
      </c>
      <c r="H20" s="2">
        <v>2077</v>
      </c>
      <c r="I20" s="2">
        <v>2077</v>
      </c>
      <c r="J20" s="2">
        <v>765</v>
      </c>
      <c r="K20" s="2" t="s">
        <v>28</v>
      </c>
    </row>
    <row r="21" spans="1:11" x14ac:dyDescent="0.25">
      <c r="A21" s="2">
        <v>1025</v>
      </c>
      <c r="B21" s="3">
        <v>45659</v>
      </c>
      <c r="C21" s="3" t="s">
        <v>36</v>
      </c>
      <c r="D21" s="2" t="s">
        <v>29</v>
      </c>
      <c r="E21" s="2" t="s">
        <v>26</v>
      </c>
      <c r="F21" s="2">
        <v>4</v>
      </c>
      <c r="G21" s="2">
        <v>1589</v>
      </c>
      <c r="H21" s="2">
        <v>2867</v>
      </c>
      <c r="I21" s="2">
        <v>11468</v>
      </c>
      <c r="J21" s="2">
        <v>5112</v>
      </c>
      <c r="K21" s="2" t="s">
        <v>13</v>
      </c>
    </row>
    <row r="22" spans="1:11" x14ac:dyDescent="0.25">
      <c r="A22" s="2">
        <v>1027</v>
      </c>
      <c r="B22" s="3">
        <v>45659</v>
      </c>
      <c r="C22" s="3" t="s">
        <v>36</v>
      </c>
      <c r="D22" s="2" t="s">
        <v>22</v>
      </c>
      <c r="E22" s="2" t="s">
        <v>23</v>
      </c>
      <c r="F22" s="2">
        <v>3</v>
      </c>
      <c r="G22" s="2">
        <v>877</v>
      </c>
      <c r="H22" s="2">
        <v>2215</v>
      </c>
      <c r="I22" s="2">
        <v>6645</v>
      </c>
      <c r="J22" s="2">
        <v>4014</v>
      </c>
      <c r="K22" s="2" t="s">
        <v>20</v>
      </c>
    </row>
    <row r="23" spans="1:11" x14ac:dyDescent="0.25">
      <c r="A23" s="2">
        <v>1028</v>
      </c>
      <c r="B23" s="3">
        <v>45497</v>
      </c>
      <c r="C23" s="3" t="s">
        <v>42</v>
      </c>
      <c r="D23" s="2" t="s">
        <v>22</v>
      </c>
      <c r="E23" s="2" t="s">
        <v>23</v>
      </c>
      <c r="F23" s="2">
        <v>4</v>
      </c>
      <c r="G23" s="2">
        <v>1294</v>
      </c>
      <c r="H23" s="2">
        <v>2379</v>
      </c>
      <c r="I23" s="2">
        <v>9516</v>
      </c>
      <c r="J23" s="2">
        <v>4340</v>
      </c>
      <c r="K23" s="2" t="s">
        <v>15</v>
      </c>
    </row>
    <row r="24" spans="1:11" x14ac:dyDescent="0.25">
      <c r="A24" s="2">
        <v>1029</v>
      </c>
      <c r="B24" s="3">
        <v>45642</v>
      </c>
      <c r="C24" s="3" t="s">
        <v>39</v>
      </c>
      <c r="D24" s="2" t="s">
        <v>19</v>
      </c>
      <c r="E24" s="2" t="s">
        <v>17</v>
      </c>
      <c r="F24" s="2">
        <v>6</v>
      </c>
      <c r="G24" s="2">
        <v>1709</v>
      </c>
      <c r="H24" s="2">
        <v>2949</v>
      </c>
      <c r="I24" s="2">
        <v>17694</v>
      </c>
      <c r="J24" s="2">
        <v>7440</v>
      </c>
      <c r="K24" s="2" t="s">
        <v>20</v>
      </c>
    </row>
    <row r="25" spans="1:11" x14ac:dyDescent="0.25">
      <c r="A25" s="2">
        <v>1030</v>
      </c>
      <c r="B25" s="3">
        <v>45550</v>
      </c>
      <c r="C25" s="3" t="s">
        <v>33</v>
      </c>
      <c r="D25" s="2" t="s">
        <v>14</v>
      </c>
      <c r="E25" s="2" t="s">
        <v>11</v>
      </c>
      <c r="F25" s="2">
        <v>1</v>
      </c>
      <c r="G25" s="2">
        <v>491</v>
      </c>
      <c r="H25" s="2">
        <v>1038</v>
      </c>
      <c r="I25" s="2">
        <v>1038</v>
      </c>
      <c r="J25" s="2">
        <v>547</v>
      </c>
      <c r="K25" s="2" t="s">
        <v>15</v>
      </c>
    </row>
    <row r="26" spans="1:11" x14ac:dyDescent="0.25">
      <c r="A26" s="2">
        <v>1031</v>
      </c>
      <c r="B26" s="3">
        <v>45434</v>
      </c>
      <c r="C26" s="3" t="s">
        <v>38</v>
      </c>
      <c r="D26" s="2" t="s">
        <v>14</v>
      </c>
      <c r="E26" s="2" t="s">
        <v>11</v>
      </c>
      <c r="F26" s="2">
        <v>3</v>
      </c>
      <c r="G26" s="2">
        <v>445</v>
      </c>
      <c r="H26" s="2">
        <v>1597</v>
      </c>
      <c r="I26" s="2">
        <v>4791</v>
      </c>
      <c r="J26" s="2">
        <v>3456</v>
      </c>
      <c r="K26" s="2" t="s">
        <v>18</v>
      </c>
    </row>
    <row r="27" spans="1:11" x14ac:dyDescent="0.25">
      <c r="A27" s="2">
        <v>1032</v>
      </c>
      <c r="B27" s="3">
        <v>45406</v>
      </c>
      <c r="C27" s="3" t="s">
        <v>31</v>
      </c>
      <c r="D27" s="2" t="s">
        <v>10</v>
      </c>
      <c r="E27" s="2" t="s">
        <v>11</v>
      </c>
      <c r="F27" s="2">
        <v>1</v>
      </c>
      <c r="G27" s="2">
        <v>1818</v>
      </c>
      <c r="H27" s="2">
        <v>2481</v>
      </c>
      <c r="I27" s="2">
        <v>2481</v>
      </c>
      <c r="J27" s="2">
        <v>663</v>
      </c>
      <c r="K27" s="2" t="s">
        <v>12</v>
      </c>
    </row>
    <row r="28" spans="1:11" x14ac:dyDescent="0.25">
      <c r="A28" s="2">
        <v>1033</v>
      </c>
      <c r="B28" s="3">
        <v>45314</v>
      </c>
      <c r="C28" s="3" t="s">
        <v>36</v>
      </c>
      <c r="D28" s="2" t="s">
        <v>10</v>
      </c>
      <c r="E28" s="2" t="s">
        <v>11</v>
      </c>
      <c r="F28" s="2">
        <v>4</v>
      </c>
      <c r="G28" s="2">
        <v>1480</v>
      </c>
      <c r="H28" s="2">
        <v>1969</v>
      </c>
      <c r="I28" s="2">
        <v>7876</v>
      </c>
      <c r="J28" s="2">
        <v>1956</v>
      </c>
      <c r="K28" s="2" t="s">
        <v>13</v>
      </c>
    </row>
    <row r="29" spans="1:11" x14ac:dyDescent="0.25">
      <c r="A29" s="2">
        <v>1034</v>
      </c>
      <c r="B29" s="3">
        <v>45314</v>
      </c>
      <c r="C29" s="3" t="s">
        <v>36</v>
      </c>
      <c r="D29" s="2" t="s">
        <v>10</v>
      </c>
      <c r="E29" s="2" t="s">
        <v>11</v>
      </c>
      <c r="F29" s="2">
        <v>3</v>
      </c>
      <c r="G29" s="2">
        <v>1004</v>
      </c>
      <c r="H29" s="2">
        <v>2340</v>
      </c>
      <c r="I29" s="2">
        <v>7020</v>
      </c>
      <c r="J29" s="2">
        <v>4008</v>
      </c>
      <c r="K29" s="2" t="s">
        <v>18</v>
      </c>
    </row>
    <row r="30" spans="1:11" x14ac:dyDescent="0.25">
      <c r="A30" s="2">
        <v>1035</v>
      </c>
      <c r="B30" s="3">
        <v>45463</v>
      </c>
      <c r="C30" s="3" t="s">
        <v>40</v>
      </c>
      <c r="D30" s="2" t="s">
        <v>10</v>
      </c>
      <c r="E30" s="2" t="s">
        <v>11</v>
      </c>
      <c r="F30" s="2">
        <v>6</v>
      </c>
      <c r="G30" s="2">
        <v>885</v>
      </c>
      <c r="H30" s="2">
        <v>1465</v>
      </c>
      <c r="I30" s="2">
        <v>8790</v>
      </c>
      <c r="J30" s="2">
        <v>3480</v>
      </c>
      <c r="K30" s="2" t="s">
        <v>20</v>
      </c>
    </row>
    <row r="31" spans="1:11" x14ac:dyDescent="0.25">
      <c r="A31" s="2">
        <v>1036</v>
      </c>
      <c r="B31" s="3">
        <v>45524</v>
      </c>
      <c r="C31" s="3" t="s">
        <v>34</v>
      </c>
      <c r="D31" s="2" t="s">
        <v>10</v>
      </c>
      <c r="E31" s="2" t="s">
        <v>11</v>
      </c>
      <c r="F31" s="2">
        <v>2</v>
      </c>
      <c r="G31" s="2">
        <v>506</v>
      </c>
      <c r="H31" s="2">
        <v>1384</v>
      </c>
      <c r="I31" s="2">
        <v>2768</v>
      </c>
      <c r="J31" s="2">
        <v>1756</v>
      </c>
      <c r="K31" s="2" t="s">
        <v>20</v>
      </c>
    </row>
    <row r="32" spans="1:11" x14ac:dyDescent="0.25">
      <c r="A32" s="2">
        <v>1037</v>
      </c>
      <c r="B32" s="3">
        <v>45399</v>
      </c>
      <c r="C32" s="3" t="s">
        <v>31</v>
      </c>
      <c r="D32" s="2" t="s">
        <v>25</v>
      </c>
      <c r="E32" s="2" t="s">
        <v>26</v>
      </c>
      <c r="F32" s="2">
        <v>5</v>
      </c>
      <c r="G32" s="2">
        <v>300</v>
      </c>
      <c r="H32" s="2">
        <v>1022</v>
      </c>
      <c r="I32" s="2">
        <v>5110</v>
      </c>
      <c r="J32" s="2">
        <v>3610</v>
      </c>
      <c r="K32" s="2" t="s">
        <v>13</v>
      </c>
    </row>
    <row r="33" spans="1:11" x14ac:dyDescent="0.25">
      <c r="A33" s="2">
        <v>1038</v>
      </c>
      <c r="B33" s="3">
        <v>45613</v>
      </c>
      <c r="C33" s="3" t="s">
        <v>37</v>
      </c>
      <c r="D33" s="2" t="s">
        <v>10</v>
      </c>
      <c r="E33" s="2" t="s">
        <v>11</v>
      </c>
      <c r="F33" s="2">
        <v>4</v>
      </c>
      <c r="G33" s="2">
        <v>461</v>
      </c>
      <c r="H33" s="2">
        <v>1691</v>
      </c>
      <c r="I33" s="2">
        <v>6764</v>
      </c>
      <c r="J33" s="2">
        <v>4920</v>
      </c>
      <c r="K33" s="2" t="s">
        <v>20</v>
      </c>
    </row>
    <row r="34" spans="1:11" x14ac:dyDescent="0.25">
      <c r="A34" s="2">
        <v>1039</v>
      </c>
      <c r="B34" s="3">
        <v>45677</v>
      </c>
      <c r="C34" s="3" t="s">
        <v>36</v>
      </c>
      <c r="D34" s="2" t="s">
        <v>25</v>
      </c>
      <c r="E34" s="2" t="s">
        <v>26</v>
      </c>
      <c r="F34" s="2">
        <v>4</v>
      </c>
      <c r="G34" s="2">
        <v>312</v>
      </c>
      <c r="H34" s="2">
        <v>1132</v>
      </c>
      <c r="I34" s="2">
        <v>4528</v>
      </c>
      <c r="J34" s="2">
        <v>3280</v>
      </c>
      <c r="K34" s="2" t="s">
        <v>13</v>
      </c>
    </row>
    <row r="35" spans="1:11" x14ac:dyDescent="0.25">
      <c r="A35" s="2">
        <v>1040</v>
      </c>
      <c r="B35" s="3">
        <v>45633</v>
      </c>
      <c r="C35" s="3" t="s">
        <v>39</v>
      </c>
      <c r="D35" s="2" t="s">
        <v>10</v>
      </c>
      <c r="E35" s="2" t="s">
        <v>11</v>
      </c>
      <c r="F35" s="2">
        <v>6</v>
      </c>
      <c r="G35" s="2">
        <v>915</v>
      </c>
      <c r="H35" s="2">
        <v>2053</v>
      </c>
      <c r="I35" s="2">
        <v>12318</v>
      </c>
      <c r="J35" s="2">
        <v>6828</v>
      </c>
      <c r="K35" s="2" t="s">
        <v>13</v>
      </c>
    </row>
    <row r="36" spans="1:11" x14ac:dyDescent="0.25">
      <c r="A36" s="2">
        <v>1042</v>
      </c>
      <c r="B36" s="3">
        <v>45635</v>
      </c>
      <c r="C36" s="3" t="s">
        <v>39</v>
      </c>
      <c r="D36" s="2" t="s">
        <v>29</v>
      </c>
      <c r="E36" s="2" t="s">
        <v>26</v>
      </c>
      <c r="F36" s="2">
        <v>3</v>
      </c>
      <c r="G36" s="2">
        <v>1136</v>
      </c>
      <c r="H36" s="2">
        <v>1918</v>
      </c>
      <c r="I36" s="2">
        <v>5754</v>
      </c>
      <c r="J36" s="2">
        <v>2346</v>
      </c>
      <c r="K36" s="2" t="s">
        <v>24</v>
      </c>
    </row>
    <row r="37" spans="1:11" x14ac:dyDescent="0.25">
      <c r="A37" s="2">
        <v>1043</v>
      </c>
      <c r="B37" s="3">
        <v>45569</v>
      </c>
      <c r="C37" s="3" t="s">
        <v>32</v>
      </c>
      <c r="D37" s="2" t="s">
        <v>16</v>
      </c>
      <c r="E37" s="2" t="s">
        <v>17</v>
      </c>
      <c r="F37" s="2">
        <v>1</v>
      </c>
      <c r="G37" s="2">
        <v>1149</v>
      </c>
      <c r="H37" s="2">
        <v>2083</v>
      </c>
      <c r="I37" s="2">
        <v>2083</v>
      </c>
      <c r="J37" s="2">
        <v>934</v>
      </c>
      <c r="K37" s="2" t="s">
        <v>18</v>
      </c>
    </row>
    <row r="38" spans="1:11" x14ac:dyDescent="0.25">
      <c r="A38" s="2">
        <v>1044</v>
      </c>
      <c r="B38" s="3">
        <v>45302</v>
      </c>
      <c r="C38" s="3" t="s">
        <v>36</v>
      </c>
      <c r="D38" s="2" t="s">
        <v>10</v>
      </c>
      <c r="E38" s="2" t="s">
        <v>11</v>
      </c>
      <c r="F38" s="2">
        <v>2</v>
      </c>
      <c r="G38" s="2">
        <v>760</v>
      </c>
      <c r="H38" s="2">
        <v>991</v>
      </c>
      <c r="I38" s="2">
        <v>1982</v>
      </c>
      <c r="J38" s="2">
        <v>462</v>
      </c>
      <c r="K38" s="2" t="s">
        <v>28</v>
      </c>
    </row>
    <row r="39" spans="1:11" x14ac:dyDescent="0.25">
      <c r="A39" s="2">
        <v>1045</v>
      </c>
      <c r="B39" s="3">
        <v>45448</v>
      </c>
      <c r="C39" s="3" t="s">
        <v>40</v>
      </c>
      <c r="D39" s="2" t="s">
        <v>16</v>
      </c>
      <c r="E39" s="2" t="s">
        <v>17</v>
      </c>
      <c r="F39" s="2">
        <v>2</v>
      </c>
      <c r="G39" s="2">
        <v>1972</v>
      </c>
      <c r="H39" s="2">
        <v>3014</v>
      </c>
      <c r="I39" s="2">
        <v>6028</v>
      </c>
      <c r="J39" s="2">
        <v>2084</v>
      </c>
      <c r="K39" s="2" t="s">
        <v>28</v>
      </c>
    </row>
    <row r="40" spans="1:11" x14ac:dyDescent="0.25">
      <c r="A40" s="2">
        <v>1046</v>
      </c>
      <c r="B40" s="3">
        <v>45651</v>
      </c>
      <c r="C40" s="3" t="s">
        <v>39</v>
      </c>
      <c r="D40" s="2" t="s">
        <v>25</v>
      </c>
      <c r="E40" s="2" t="s">
        <v>26</v>
      </c>
      <c r="F40" s="2">
        <v>6</v>
      </c>
      <c r="G40" s="2">
        <v>1427</v>
      </c>
      <c r="H40" s="2">
        <v>2204</v>
      </c>
      <c r="I40" s="2">
        <v>13224</v>
      </c>
      <c r="J40" s="2">
        <v>4662</v>
      </c>
      <c r="K40" s="2" t="s">
        <v>18</v>
      </c>
    </row>
    <row r="41" spans="1:11" x14ac:dyDescent="0.25">
      <c r="A41" s="2">
        <v>1047</v>
      </c>
      <c r="B41" s="3">
        <v>45312</v>
      </c>
      <c r="C41" s="3" t="s">
        <v>36</v>
      </c>
      <c r="D41" s="2" t="s">
        <v>25</v>
      </c>
      <c r="E41" s="2" t="s">
        <v>26</v>
      </c>
      <c r="F41" s="2">
        <v>2</v>
      </c>
      <c r="G41" s="2">
        <v>385</v>
      </c>
      <c r="H41" s="2">
        <v>1116</v>
      </c>
      <c r="I41" s="2">
        <v>2232</v>
      </c>
      <c r="J41" s="2">
        <v>1462</v>
      </c>
      <c r="K41" s="2" t="s">
        <v>20</v>
      </c>
    </row>
    <row r="42" spans="1:11" x14ac:dyDescent="0.25">
      <c r="A42" s="2">
        <v>1048</v>
      </c>
      <c r="B42" s="3">
        <v>45516</v>
      </c>
      <c r="C42" s="3" t="s">
        <v>34</v>
      </c>
      <c r="D42" s="2" t="s">
        <v>19</v>
      </c>
      <c r="E42" s="2" t="s">
        <v>17</v>
      </c>
      <c r="F42" s="2">
        <v>4</v>
      </c>
      <c r="G42" s="2">
        <v>1675</v>
      </c>
      <c r="H42" s="2">
        <v>3105</v>
      </c>
      <c r="I42" s="2">
        <v>12420</v>
      </c>
      <c r="J42" s="2">
        <v>5720</v>
      </c>
      <c r="K42" s="2" t="s">
        <v>18</v>
      </c>
    </row>
    <row r="43" spans="1:11" x14ac:dyDescent="0.25">
      <c r="A43" s="2">
        <v>1049</v>
      </c>
      <c r="B43" s="3">
        <v>45311</v>
      </c>
      <c r="C43" s="3" t="s">
        <v>36</v>
      </c>
      <c r="D43" s="2" t="s">
        <v>19</v>
      </c>
      <c r="E43" s="2" t="s">
        <v>17</v>
      </c>
      <c r="F43" s="2">
        <v>2</v>
      </c>
      <c r="G43" s="2">
        <v>1912</v>
      </c>
      <c r="H43" s="2">
        <v>2233</v>
      </c>
      <c r="I43" s="2">
        <v>4466</v>
      </c>
      <c r="J43" s="2">
        <v>642</v>
      </c>
      <c r="K43" s="2" t="s">
        <v>18</v>
      </c>
    </row>
    <row r="44" spans="1:11" x14ac:dyDescent="0.25">
      <c r="A44" s="2">
        <v>1050</v>
      </c>
      <c r="B44" s="3">
        <v>45647</v>
      </c>
      <c r="C44" s="3" t="s">
        <v>39</v>
      </c>
      <c r="D44" s="2" t="s">
        <v>10</v>
      </c>
      <c r="E44" s="2" t="s">
        <v>11</v>
      </c>
      <c r="F44" s="2">
        <v>2</v>
      </c>
      <c r="G44" s="2">
        <v>608</v>
      </c>
      <c r="H44" s="2">
        <v>1181</v>
      </c>
      <c r="I44" s="2">
        <v>2362</v>
      </c>
      <c r="J44" s="2">
        <v>1146</v>
      </c>
      <c r="K44" s="2" t="s">
        <v>12</v>
      </c>
    </row>
    <row r="45" spans="1:11" x14ac:dyDescent="0.25">
      <c r="A45" s="2">
        <v>1052</v>
      </c>
      <c r="B45" s="3">
        <v>45460</v>
      </c>
      <c r="C45" s="3" t="s">
        <v>40</v>
      </c>
      <c r="D45" s="2" t="s">
        <v>16</v>
      </c>
      <c r="E45" s="2" t="s">
        <v>17</v>
      </c>
      <c r="F45" s="2">
        <v>1</v>
      </c>
      <c r="G45" s="2">
        <v>1651</v>
      </c>
      <c r="H45" s="2">
        <v>2146</v>
      </c>
      <c r="I45" s="2">
        <v>2146</v>
      </c>
      <c r="J45" s="2">
        <v>495</v>
      </c>
      <c r="K45" s="2" t="s">
        <v>21</v>
      </c>
    </row>
    <row r="46" spans="1:11" x14ac:dyDescent="0.25">
      <c r="A46" s="2">
        <v>1054</v>
      </c>
      <c r="B46" s="3">
        <v>45404</v>
      </c>
      <c r="C46" s="3" t="s">
        <v>31</v>
      </c>
      <c r="D46" s="2" t="s">
        <v>16</v>
      </c>
      <c r="E46" s="2" t="s">
        <v>17</v>
      </c>
      <c r="F46" s="2">
        <v>6</v>
      </c>
      <c r="G46" s="2">
        <v>1630</v>
      </c>
      <c r="H46" s="2">
        <v>2846</v>
      </c>
      <c r="I46" s="2">
        <v>17076</v>
      </c>
      <c r="J46" s="2">
        <v>7296</v>
      </c>
      <c r="K46" s="2" t="s">
        <v>18</v>
      </c>
    </row>
    <row r="47" spans="1:11" x14ac:dyDescent="0.25">
      <c r="A47" s="2">
        <v>1055</v>
      </c>
      <c r="B47" s="3">
        <v>45400</v>
      </c>
      <c r="C47" s="3" t="s">
        <v>31</v>
      </c>
      <c r="D47" s="2" t="s">
        <v>22</v>
      </c>
      <c r="E47" s="2" t="s">
        <v>23</v>
      </c>
      <c r="F47" s="2">
        <v>3</v>
      </c>
      <c r="G47" s="2">
        <v>1380</v>
      </c>
      <c r="H47" s="2">
        <v>2722</v>
      </c>
      <c r="I47" s="2">
        <v>8166</v>
      </c>
      <c r="J47" s="2">
        <v>4026</v>
      </c>
      <c r="K47" s="2" t="s">
        <v>28</v>
      </c>
    </row>
    <row r="48" spans="1:11" x14ac:dyDescent="0.25">
      <c r="A48" s="2">
        <v>1057</v>
      </c>
      <c r="B48" s="3">
        <v>45573</v>
      </c>
      <c r="C48" s="3" t="s">
        <v>32</v>
      </c>
      <c r="D48" s="2" t="s">
        <v>19</v>
      </c>
      <c r="E48" s="2" t="s">
        <v>17</v>
      </c>
      <c r="F48" s="2">
        <v>4</v>
      </c>
      <c r="G48" s="2">
        <v>811</v>
      </c>
      <c r="H48" s="2">
        <v>1065</v>
      </c>
      <c r="I48" s="2">
        <v>4260</v>
      </c>
      <c r="J48" s="2">
        <v>1016</v>
      </c>
      <c r="K48" s="2" t="s">
        <v>24</v>
      </c>
    </row>
    <row r="49" spans="1:11" x14ac:dyDescent="0.25">
      <c r="A49" s="2">
        <v>1059</v>
      </c>
      <c r="B49" s="3">
        <v>45453</v>
      </c>
      <c r="C49" s="3" t="s">
        <v>40</v>
      </c>
      <c r="D49" s="2" t="s">
        <v>22</v>
      </c>
      <c r="E49" s="2" t="s">
        <v>23</v>
      </c>
      <c r="F49" s="2">
        <v>6</v>
      </c>
      <c r="G49" s="2">
        <v>1621</v>
      </c>
      <c r="H49" s="2">
        <v>2335</v>
      </c>
      <c r="I49" s="2">
        <v>14010</v>
      </c>
      <c r="J49" s="2">
        <v>4284</v>
      </c>
      <c r="K49" s="2" t="s">
        <v>24</v>
      </c>
    </row>
    <row r="50" spans="1:11" x14ac:dyDescent="0.25">
      <c r="A50" s="2">
        <v>1060</v>
      </c>
      <c r="B50" s="3">
        <v>45562</v>
      </c>
      <c r="C50" s="3" t="s">
        <v>33</v>
      </c>
      <c r="D50" s="2" t="s">
        <v>10</v>
      </c>
      <c r="E50" s="2" t="s">
        <v>11</v>
      </c>
      <c r="F50" s="2">
        <v>4</v>
      </c>
      <c r="G50" s="2">
        <v>1081</v>
      </c>
      <c r="H50" s="2">
        <v>2401</v>
      </c>
      <c r="I50" s="2">
        <v>9604</v>
      </c>
      <c r="J50" s="2">
        <v>5280</v>
      </c>
      <c r="K50" s="2" t="s">
        <v>21</v>
      </c>
    </row>
    <row r="51" spans="1:11" x14ac:dyDescent="0.25">
      <c r="A51" s="2">
        <v>1061</v>
      </c>
      <c r="B51" s="3">
        <v>45575</v>
      </c>
      <c r="C51" s="3" t="s">
        <v>32</v>
      </c>
      <c r="D51" s="2" t="s">
        <v>19</v>
      </c>
      <c r="E51" s="2" t="s">
        <v>17</v>
      </c>
      <c r="F51" s="2">
        <v>6</v>
      </c>
      <c r="G51" s="2">
        <v>1491</v>
      </c>
      <c r="H51" s="2">
        <v>2346</v>
      </c>
      <c r="I51" s="2">
        <v>14076</v>
      </c>
      <c r="J51" s="2">
        <v>5130</v>
      </c>
      <c r="K51" s="2" t="s">
        <v>20</v>
      </c>
    </row>
    <row r="52" spans="1:11" x14ac:dyDescent="0.25">
      <c r="A52" s="2">
        <v>1062</v>
      </c>
      <c r="B52" s="3">
        <v>45549</v>
      </c>
      <c r="C52" s="3" t="s">
        <v>33</v>
      </c>
      <c r="D52" s="2" t="s">
        <v>27</v>
      </c>
      <c r="E52" s="2" t="s">
        <v>11</v>
      </c>
      <c r="F52" s="2">
        <v>1</v>
      </c>
      <c r="G52" s="2">
        <v>402</v>
      </c>
      <c r="H52" s="2">
        <v>1698</v>
      </c>
      <c r="I52" s="2">
        <v>1698</v>
      </c>
      <c r="J52" s="2">
        <v>1296</v>
      </c>
      <c r="K52" s="2" t="s">
        <v>12</v>
      </c>
    </row>
    <row r="53" spans="1:11" x14ac:dyDescent="0.25">
      <c r="A53" s="2">
        <v>1063</v>
      </c>
      <c r="B53" s="3">
        <v>45306</v>
      </c>
      <c r="C53" s="3" t="s">
        <v>36</v>
      </c>
      <c r="D53" s="2" t="s">
        <v>29</v>
      </c>
      <c r="E53" s="2" t="s">
        <v>26</v>
      </c>
      <c r="F53" s="2">
        <v>2</v>
      </c>
      <c r="G53" s="2">
        <v>858</v>
      </c>
      <c r="H53" s="2">
        <v>1850</v>
      </c>
      <c r="I53" s="2">
        <v>3700</v>
      </c>
      <c r="J53" s="2">
        <v>1984</v>
      </c>
      <c r="K53" s="2" t="s">
        <v>13</v>
      </c>
    </row>
    <row r="54" spans="1:11" x14ac:dyDescent="0.25">
      <c r="A54" s="2">
        <v>1065</v>
      </c>
      <c r="B54" s="3">
        <v>45346</v>
      </c>
      <c r="C54" s="3" t="s">
        <v>35</v>
      </c>
      <c r="D54" s="2" t="s">
        <v>19</v>
      </c>
      <c r="E54" s="2" t="s">
        <v>17</v>
      </c>
      <c r="F54" s="2">
        <v>5</v>
      </c>
      <c r="G54" s="2">
        <v>1860</v>
      </c>
      <c r="H54" s="2">
        <v>2325</v>
      </c>
      <c r="I54" s="2">
        <v>11625</v>
      </c>
      <c r="J54" s="2">
        <v>2325</v>
      </c>
      <c r="K54" s="2" t="s">
        <v>21</v>
      </c>
    </row>
    <row r="55" spans="1:11" x14ac:dyDescent="0.25">
      <c r="A55" s="2">
        <v>1066</v>
      </c>
      <c r="B55" s="3">
        <v>45496</v>
      </c>
      <c r="C55" s="3" t="s">
        <v>42</v>
      </c>
      <c r="D55" s="2" t="s">
        <v>10</v>
      </c>
      <c r="E55" s="2" t="s">
        <v>11</v>
      </c>
      <c r="F55" s="2">
        <v>3</v>
      </c>
      <c r="G55" s="2">
        <v>1019</v>
      </c>
      <c r="H55" s="2">
        <v>2432</v>
      </c>
      <c r="I55" s="2">
        <v>7296</v>
      </c>
      <c r="J55" s="2">
        <v>4239</v>
      </c>
      <c r="K55" s="2" t="s">
        <v>20</v>
      </c>
    </row>
    <row r="56" spans="1:11" x14ac:dyDescent="0.25">
      <c r="A56" s="2">
        <v>1070</v>
      </c>
      <c r="B56" s="3">
        <v>45690</v>
      </c>
      <c r="C56" s="3" t="s">
        <v>35</v>
      </c>
      <c r="D56" s="2" t="s">
        <v>16</v>
      </c>
      <c r="E56" s="2" t="s">
        <v>17</v>
      </c>
      <c r="F56" s="2">
        <v>2</v>
      </c>
      <c r="G56" s="2">
        <v>1065</v>
      </c>
      <c r="H56" s="2">
        <v>1495</v>
      </c>
      <c r="I56" s="2">
        <v>2990</v>
      </c>
      <c r="J56" s="2">
        <v>860</v>
      </c>
      <c r="K56" s="2" t="s">
        <v>15</v>
      </c>
    </row>
    <row r="57" spans="1:11" x14ac:dyDescent="0.25">
      <c r="A57" s="2">
        <v>1071</v>
      </c>
      <c r="B57" s="3">
        <v>45357</v>
      </c>
      <c r="C57" s="3" t="s">
        <v>41</v>
      </c>
      <c r="D57" s="2" t="s">
        <v>27</v>
      </c>
      <c r="E57" s="2" t="s">
        <v>11</v>
      </c>
      <c r="F57" s="2">
        <v>4</v>
      </c>
      <c r="G57" s="2">
        <v>1727</v>
      </c>
      <c r="H57" s="2">
        <v>2432</v>
      </c>
      <c r="I57" s="2">
        <v>9728</v>
      </c>
      <c r="J57" s="2">
        <v>2820</v>
      </c>
      <c r="K57" s="2" t="s">
        <v>28</v>
      </c>
    </row>
    <row r="58" spans="1:11" x14ac:dyDescent="0.25">
      <c r="A58" s="2">
        <v>1072</v>
      </c>
      <c r="B58" s="3">
        <v>45296</v>
      </c>
      <c r="C58" s="3" t="s">
        <v>36</v>
      </c>
      <c r="D58" s="2" t="s">
        <v>29</v>
      </c>
      <c r="E58" s="2" t="s">
        <v>26</v>
      </c>
      <c r="F58" s="2">
        <v>5</v>
      </c>
      <c r="G58" s="2">
        <v>1745</v>
      </c>
      <c r="H58" s="2">
        <v>2720</v>
      </c>
      <c r="I58" s="2">
        <v>13600</v>
      </c>
      <c r="J58" s="2">
        <v>4875</v>
      </c>
      <c r="K58" s="2" t="s">
        <v>24</v>
      </c>
    </row>
    <row r="59" spans="1:11" x14ac:dyDescent="0.25">
      <c r="A59" s="2">
        <v>1073</v>
      </c>
      <c r="B59" s="3">
        <v>45559</v>
      </c>
      <c r="C59" s="3" t="s">
        <v>33</v>
      </c>
      <c r="D59" s="2" t="s">
        <v>10</v>
      </c>
      <c r="E59" s="2" t="s">
        <v>11</v>
      </c>
      <c r="F59" s="2">
        <v>4</v>
      </c>
      <c r="G59" s="2">
        <v>1646</v>
      </c>
      <c r="H59" s="2">
        <v>2941</v>
      </c>
      <c r="I59" s="2">
        <v>11764</v>
      </c>
      <c r="J59" s="2">
        <v>5180</v>
      </c>
      <c r="K59" s="2" t="s">
        <v>20</v>
      </c>
    </row>
    <row r="60" spans="1:11" x14ac:dyDescent="0.25">
      <c r="A60" s="2">
        <v>1074</v>
      </c>
      <c r="B60" s="3">
        <v>45534</v>
      </c>
      <c r="C60" s="3" t="s">
        <v>34</v>
      </c>
      <c r="D60" s="2" t="s">
        <v>16</v>
      </c>
      <c r="E60" s="2" t="s">
        <v>17</v>
      </c>
      <c r="F60" s="2">
        <v>5</v>
      </c>
      <c r="G60" s="2">
        <v>570</v>
      </c>
      <c r="H60" s="2">
        <v>1839</v>
      </c>
      <c r="I60" s="2">
        <v>9195</v>
      </c>
      <c r="J60" s="2">
        <v>6345</v>
      </c>
      <c r="K60" s="2" t="s">
        <v>28</v>
      </c>
    </row>
    <row r="61" spans="1:11" x14ac:dyDescent="0.25">
      <c r="A61" s="2">
        <v>1075</v>
      </c>
      <c r="B61" s="3">
        <v>45427</v>
      </c>
      <c r="C61" s="3" t="s">
        <v>38</v>
      </c>
      <c r="D61" s="2" t="s">
        <v>14</v>
      </c>
      <c r="E61" s="2" t="s">
        <v>11</v>
      </c>
      <c r="F61" s="2">
        <v>1</v>
      </c>
      <c r="G61" s="2">
        <v>834</v>
      </c>
      <c r="H61" s="2">
        <v>1299</v>
      </c>
      <c r="I61" s="2">
        <v>1299</v>
      </c>
      <c r="J61" s="2">
        <v>465</v>
      </c>
      <c r="K61" s="2" t="s">
        <v>15</v>
      </c>
    </row>
    <row r="62" spans="1:11" x14ac:dyDescent="0.25">
      <c r="A62" s="2">
        <v>1076</v>
      </c>
      <c r="B62" s="3">
        <v>45645</v>
      </c>
      <c r="C62" s="3" t="s">
        <v>39</v>
      </c>
      <c r="D62" s="2" t="s">
        <v>25</v>
      </c>
      <c r="E62" s="2" t="s">
        <v>26</v>
      </c>
      <c r="F62" s="2">
        <v>6</v>
      </c>
      <c r="G62" s="2">
        <v>706</v>
      </c>
      <c r="H62" s="2">
        <v>961</v>
      </c>
      <c r="I62" s="2">
        <v>5766</v>
      </c>
      <c r="J62" s="2">
        <v>1530</v>
      </c>
      <c r="K62" s="2" t="s">
        <v>28</v>
      </c>
    </row>
    <row r="63" spans="1:11" x14ac:dyDescent="0.25">
      <c r="A63" s="2">
        <v>1077</v>
      </c>
      <c r="B63" s="3">
        <v>45675</v>
      </c>
      <c r="C63" s="3" t="s">
        <v>36</v>
      </c>
      <c r="D63" s="2" t="s">
        <v>10</v>
      </c>
      <c r="E63" s="2" t="s">
        <v>11</v>
      </c>
      <c r="F63" s="2">
        <v>1</v>
      </c>
      <c r="G63" s="2">
        <v>639</v>
      </c>
      <c r="H63" s="2">
        <v>1368</v>
      </c>
      <c r="I63" s="2">
        <v>1368</v>
      </c>
      <c r="J63" s="2">
        <v>729</v>
      </c>
      <c r="K63" s="2" t="s">
        <v>21</v>
      </c>
    </row>
    <row r="64" spans="1:11" x14ac:dyDescent="0.25">
      <c r="A64" s="2">
        <v>1078</v>
      </c>
      <c r="B64" s="3">
        <v>45597</v>
      </c>
      <c r="C64" s="3" t="s">
        <v>37</v>
      </c>
      <c r="D64" s="2" t="s">
        <v>10</v>
      </c>
      <c r="E64" s="2" t="s">
        <v>11</v>
      </c>
      <c r="F64" s="2">
        <v>5</v>
      </c>
      <c r="G64" s="2">
        <v>1865</v>
      </c>
      <c r="H64" s="2">
        <v>2817</v>
      </c>
      <c r="I64" s="2">
        <v>14085</v>
      </c>
      <c r="J64" s="2">
        <v>4760</v>
      </c>
      <c r="K64" s="2" t="s">
        <v>28</v>
      </c>
    </row>
    <row r="65" spans="1:11" x14ac:dyDescent="0.25">
      <c r="A65" s="2">
        <v>1079</v>
      </c>
      <c r="B65" s="3">
        <v>45685</v>
      </c>
      <c r="C65" s="3" t="s">
        <v>36</v>
      </c>
      <c r="D65" s="2" t="s">
        <v>14</v>
      </c>
      <c r="E65" s="2" t="s">
        <v>11</v>
      </c>
      <c r="F65" s="2">
        <v>1</v>
      </c>
      <c r="G65" s="2">
        <v>801</v>
      </c>
      <c r="H65" s="2">
        <v>1874</v>
      </c>
      <c r="I65" s="2">
        <v>1874</v>
      </c>
      <c r="J65" s="2">
        <v>1073</v>
      </c>
      <c r="K65" s="2" t="s">
        <v>24</v>
      </c>
    </row>
    <row r="66" spans="1:11" x14ac:dyDescent="0.25">
      <c r="A66" s="2">
        <v>1081</v>
      </c>
      <c r="B66" s="3">
        <v>45373</v>
      </c>
      <c r="C66" s="3" t="s">
        <v>41</v>
      </c>
      <c r="D66" s="2" t="s">
        <v>10</v>
      </c>
      <c r="E66" s="2" t="s">
        <v>11</v>
      </c>
      <c r="F66" s="2">
        <v>1</v>
      </c>
      <c r="G66" s="2">
        <v>524</v>
      </c>
      <c r="H66" s="2">
        <v>937</v>
      </c>
      <c r="I66" s="2">
        <v>937</v>
      </c>
      <c r="J66" s="2">
        <v>413</v>
      </c>
      <c r="K66" s="2" t="s">
        <v>13</v>
      </c>
    </row>
    <row r="67" spans="1:11" x14ac:dyDescent="0.25">
      <c r="A67" s="2">
        <v>1082</v>
      </c>
      <c r="B67" s="3">
        <v>45426</v>
      </c>
      <c r="C67" s="3" t="s">
        <v>38</v>
      </c>
      <c r="D67" s="2" t="s">
        <v>14</v>
      </c>
      <c r="E67" s="2" t="s">
        <v>11</v>
      </c>
      <c r="F67" s="2">
        <v>3</v>
      </c>
      <c r="G67" s="2">
        <v>1879</v>
      </c>
      <c r="H67" s="2">
        <v>2246</v>
      </c>
      <c r="I67" s="2">
        <v>6738</v>
      </c>
      <c r="J67" s="2">
        <v>1101</v>
      </c>
      <c r="K67" s="2" t="s">
        <v>12</v>
      </c>
    </row>
    <row r="68" spans="1:11" x14ac:dyDescent="0.25">
      <c r="A68" s="2">
        <v>1083</v>
      </c>
      <c r="B68" s="3">
        <v>45370</v>
      </c>
      <c r="C68" s="3" t="s">
        <v>41</v>
      </c>
      <c r="D68" s="2" t="s">
        <v>16</v>
      </c>
      <c r="E68" s="2" t="s">
        <v>17</v>
      </c>
      <c r="F68" s="2">
        <v>1</v>
      </c>
      <c r="G68" s="2">
        <v>1245</v>
      </c>
      <c r="H68" s="2">
        <v>1585</v>
      </c>
      <c r="I68" s="2">
        <v>1585</v>
      </c>
      <c r="J68" s="2">
        <v>340</v>
      </c>
      <c r="K68" s="2" t="s">
        <v>18</v>
      </c>
    </row>
    <row r="69" spans="1:11" x14ac:dyDescent="0.25">
      <c r="A69" s="2">
        <v>1084</v>
      </c>
      <c r="B69" s="3">
        <v>45644</v>
      </c>
      <c r="C69" s="3" t="s">
        <v>39</v>
      </c>
      <c r="D69" s="2" t="s">
        <v>29</v>
      </c>
      <c r="E69" s="2" t="s">
        <v>26</v>
      </c>
      <c r="F69" s="2">
        <v>4</v>
      </c>
      <c r="G69" s="2">
        <v>799</v>
      </c>
      <c r="H69" s="2">
        <v>1201</v>
      </c>
      <c r="I69" s="2">
        <v>4804</v>
      </c>
      <c r="J69" s="2">
        <v>1608</v>
      </c>
      <c r="K69" s="2" t="s">
        <v>15</v>
      </c>
    </row>
    <row r="70" spans="1:11" x14ac:dyDescent="0.25">
      <c r="A70" s="2">
        <v>1085</v>
      </c>
      <c r="B70" s="3">
        <v>45408</v>
      </c>
      <c r="C70" s="3" t="s">
        <v>31</v>
      </c>
      <c r="D70" s="2" t="s">
        <v>16</v>
      </c>
      <c r="E70" s="2" t="s">
        <v>17</v>
      </c>
      <c r="F70" s="2">
        <v>6</v>
      </c>
      <c r="G70" s="2">
        <v>442</v>
      </c>
      <c r="H70" s="2">
        <v>635</v>
      </c>
      <c r="I70" s="2">
        <v>3810</v>
      </c>
      <c r="J70" s="2">
        <v>1158</v>
      </c>
      <c r="K70" s="2" t="s">
        <v>21</v>
      </c>
    </row>
    <row r="71" spans="1:11" x14ac:dyDescent="0.25">
      <c r="A71" s="2">
        <v>1086</v>
      </c>
      <c r="B71" s="3">
        <v>45428</v>
      </c>
      <c r="C71" s="3" t="s">
        <v>38</v>
      </c>
      <c r="D71" s="2" t="s">
        <v>22</v>
      </c>
      <c r="E71" s="2" t="s">
        <v>23</v>
      </c>
      <c r="F71" s="2">
        <v>3</v>
      </c>
      <c r="G71" s="2">
        <v>1027</v>
      </c>
      <c r="H71" s="2">
        <v>1556</v>
      </c>
      <c r="I71" s="2">
        <v>4668</v>
      </c>
      <c r="J71" s="2">
        <v>1587</v>
      </c>
      <c r="K71" s="2" t="s">
        <v>24</v>
      </c>
    </row>
    <row r="72" spans="1:11" x14ac:dyDescent="0.25">
      <c r="A72" s="2">
        <v>1087</v>
      </c>
      <c r="B72" s="3">
        <v>45401</v>
      </c>
      <c r="C72" s="3" t="s">
        <v>31</v>
      </c>
      <c r="D72" s="2" t="s">
        <v>27</v>
      </c>
      <c r="E72" s="2" t="s">
        <v>11</v>
      </c>
      <c r="F72" s="2">
        <v>4</v>
      </c>
      <c r="G72" s="2">
        <v>1204</v>
      </c>
      <c r="H72" s="2">
        <v>2209</v>
      </c>
      <c r="I72" s="2">
        <v>8836</v>
      </c>
      <c r="J72" s="2">
        <v>4020</v>
      </c>
      <c r="K72" s="2" t="s">
        <v>18</v>
      </c>
    </row>
    <row r="73" spans="1:11" x14ac:dyDescent="0.25">
      <c r="A73" s="2">
        <v>1088</v>
      </c>
      <c r="B73" s="3">
        <v>45566</v>
      </c>
      <c r="C73" s="3" t="s">
        <v>32</v>
      </c>
      <c r="D73" s="2" t="s">
        <v>14</v>
      </c>
      <c r="E73" s="2" t="s">
        <v>11</v>
      </c>
      <c r="F73" s="2">
        <v>6</v>
      </c>
      <c r="G73" s="2">
        <v>1776</v>
      </c>
      <c r="H73" s="2">
        <v>2110</v>
      </c>
      <c r="I73" s="2">
        <v>12660</v>
      </c>
      <c r="J73" s="2">
        <v>2004</v>
      </c>
      <c r="K73" s="2" t="s">
        <v>21</v>
      </c>
    </row>
    <row r="74" spans="1:11" x14ac:dyDescent="0.25">
      <c r="A74" s="2">
        <v>1089</v>
      </c>
      <c r="B74" s="3">
        <v>45535</v>
      </c>
      <c r="C74" s="3" t="s">
        <v>34</v>
      </c>
      <c r="D74" s="2" t="s">
        <v>29</v>
      </c>
      <c r="E74" s="2" t="s">
        <v>26</v>
      </c>
      <c r="F74" s="2">
        <v>5</v>
      </c>
      <c r="G74" s="2">
        <v>1852</v>
      </c>
      <c r="H74" s="2">
        <v>2444</v>
      </c>
      <c r="I74" s="2">
        <v>12220</v>
      </c>
      <c r="J74" s="2">
        <v>2960</v>
      </c>
      <c r="K74" s="2" t="s">
        <v>18</v>
      </c>
    </row>
    <row r="75" spans="1:11" x14ac:dyDescent="0.25">
      <c r="A75" s="2">
        <v>1090</v>
      </c>
      <c r="B75" s="3">
        <v>45508</v>
      </c>
      <c r="C75" s="3" t="s">
        <v>34</v>
      </c>
      <c r="D75" s="2" t="s">
        <v>19</v>
      </c>
      <c r="E75" s="2" t="s">
        <v>17</v>
      </c>
      <c r="F75" s="2">
        <v>1</v>
      </c>
      <c r="G75" s="2">
        <v>1854</v>
      </c>
      <c r="H75" s="2">
        <v>2280</v>
      </c>
      <c r="I75" s="2">
        <v>2280</v>
      </c>
      <c r="J75" s="2">
        <v>426</v>
      </c>
      <c r="K75" s="2" t="s">
        <v>20</v>
      </c>
    </row>
    <row r="76" spans="1:11" x14ac:dyDescent="0.25">
      <c r="A76" s="2">
        <v>1091</v>
      </c>
      <c r="B76" s="3">
        <v>45446</v>
      </c>
      <c r="C76" s="3" t="s">
        <v>40</v>
      </c>
      <c r="D76" s="2" t="s">
        <v>19</v>
      </c>
      <c r="E76" s="2" t="s">
        <v>17</v>
      </c>
      <c r="F76" s="2">
        <v>2</v>
      </c>
      <c r="G76" s="2">
        <v>1197</v>
      </c>
      <c r="H76" s="2">
        <v>2409</v>
      </c>
      <c r="I76" s="2">
        <v>4818</v>
      </c>
      <c r="J76" s="2">
        <v>2424</v>
      </c>
      <c r="K76" s="2" t="s">
        <v>15</v>
      </c>
    </row>
    <row r="77" spans="1:11" x14ac:dyDescent="0.25">
      <c r="A77" s="2">
        <v>1093</v>
      </c>
      <c r="B77" s="3">
        <v>45376</v>
      </c>
      <c r="C77" s="3" t="s">
        <v>41</v>
      </c>
      <c r="D77" s="2" t="s">
        <v>27</v>
      </c>
      <c r="E77" s="2" t="s">
        <v>11</v>
      </c>
      <c r="F77" s="2">
        <v>6</v>
      </c>
      <c r="G77" s="2">
        <v>1690</v>
      </c>
      <c r="H77" s="2">
        <v>2618</v>
      </c>
      <c r="I77" s="2">
        <v>15708</v>
      </c>
      <c r="J77" s="2">
        <v>5568</v>
      </c>
      <c r="K77" s="2" t="s">
        <v>18</v>
      </c>
    </row>
    <row r="78" spans="1:11" x14ac:dyDescent="0.25">
      <c r="A78" s="2">
        <v>1094</v>
      </c>
      <c r="B78" s="3">
        <v>45452</v>
      </c>
      <c r="C78" s="3" t="s">
        <v>40</v>
      </c>
      <c r="D78" s="2" t="s">
        <v>10</v>
      </c>
      <c r="E78" s="2" t="s">
        <v>11</v>
      </c>
      <c r="F78" s="2">
        <v>5</v>
      </c>
      <c r="G78" s="2">
        <v>1189</v>
      </c>
      <c r="H78" s="2">
        <v>1996</v>
      </c>
      <c r="I78" s="2">
        <v>9980</v>
      </c>
      <c r="J78" s="2">
        <v>4035</v>
      </c>
      <c r="K78" s="2" t="s">
        <v>13</v>
      </c>
    </row>
    <row r="79" spans="1:11" x14ac:dyDescent="0.25">
      <c r="A79" s="2">
        <v>1096</v>
      </c>
      <c r="B79" s="3">
        <v>45579</v>
      </c>
      <c r="C79" s="3" t="s">
        <v>32</v>
      </c>
      <c r="D79" s="2" t="s">
        <v>22</v>
      </c>
      <c r="E79" s="2" t="s">
        <v>23</v>
      </c>
      <c r="F79" s="2">
        <v>3</v>
      </c>
      <c r="G79" s="2">
        <v>585</v>
      </c>
      <c r="H79" s="2">
        <v>1190</v>
      </c>
      <c r="I79" s="2">
        <v>3570</v>
      </c>
      <c r="J79" s="2">
        <v>1815</v>
      </c>
      <c r="K79" s="2" t="s">
        <v>21</v>
      </c>
    </row>
    <row r="80" spans="1:11" x14ac:dyDescent="0.25">
      <c r="A80" s="2">
        <v>1097</v>
      </c>
      <c r="B80" s="3">
        <v>45529</v>
      </c>
      <c r="C80" s="3" t="s">
        <v>34</v>
      </c>
      <c r="D80" s="2" t="s">
        <v>10</v>
      </c>
      <c r="E80" s="2" t="s">
        <v>11</v>
      </c>
      <c r="F80" s="2">
        <v>3</v>
      </c>
      <c r="G80" s="2">
        <v>1223</v>
      </c>
      <c r="H80" s="2">
        <v>1822</v>
      </c>
      <c r="I80" s="2">
        <v>5466</v>
      </c>
      <c r="J80" s="2">
        <v>1797</v>
      </c>
      <c r="K80" s="2" t="s">
        <v>13</v>
      </c>
    </row>
    <row r="81" spans="1:11" x14ac:dyDescent="0.25">
      <c r="A81" s="2">
        <v>1098</v>
      </c>
      <c r="B81" s="3">
        <v>45645</v>
      </c>
      <c r="C81" s="3" t="s">
        <v>39</v>
      </c>
      <c r="D81" s="2" t="s">
        <v>27</v>
      </c>
      <c r="E81" s="2" t="s">
        <v>11</v>
      </c>
      <c r="F81" s="2">
        <v>1</v>
      </c>
      <c r="G81" s="2">
        <v>1821</v>
      </c>
      <c r="H81" s="2">
        <v>3018</v>
      </c>
      <c r="I81" s="2">
        <v>3018</v>
      </c>
      <c r="J81" s="2">
        <v>1197</v>
      </c>
      <c r="K81" s="2" t="s">
        <v>12</v>
      </c>
    </row>
    <row r="82" spans="1:11" x14ac:dyDescent="0.25">
      <c r="A82" s="2">
        <v>1103</v>
      </c>
      <c r="B82" s="3">
        <v>45347</v>
      </c>
      <c r="C82" s="3" t="s">
        <v>35</v>
      </c>
      <c r="D82" s="2" t="s">
        <v>10</v>
      </c>
      <c r="E82" s="2" t="s">
        <v>11</v>
      </c>
      <c r="F82" s="2">
        <v>1</v>
      </c>
      <c r="G82" s="2">
        <v>1124</v>
      </c>
      <c r="H82" s="2">
        <v>1918</v>
      </c>
      <c r="I82" s="2">
        <v>1918</v>
      </c>
      <c r="J82" s="2">
        <v>794</v>
      </c>
      <c r="K82" s="2" t="s">
        <v>28</v>
      </c>
    </row>
    <row r="83" spans="1:11" x14ac:dyDescent="0.25">
      <c r="A83" s="2">
        <v>1104</v>
      </c>
      <c r="B83" s="3">
        <v>45453</v>
      </c>
      <c r="C83" s="3" t="s">
        <v>40</v>
      </c>
      <c r="D83" s="2" t="s">
        <v>14</v>
      </c>
      <c r="E83" s="2" t="s">
        <v>11</v>
      </c>
      <c r="F83" s="2">
        <v>2</v>
      </c>
      <c r="G83" s="2">
        <v>1983</v>
      </c>
      <c r="H83" s="2">
        <v>2148</v>
      </c>
      <c r="I83" s="2">
        <v>4296</v>
      </c>
      <c r="J83" s="2">
        <v>330</v>
      </c>
      <c r="K83" s="2" t="s">
        <v>13</v>
      </c>
    </row>
    <row r="84" spans="1:11" x14ac:dyDescent="0.25">
      <c r="A84" s="2">
        <v>1107</v>
      </c>
      <c r="B84" s="3">
        <v>45433</v>
      </c>
      <c r="C84" s="3" t="s">
        <v>38</v>
      </c>
      <c r="D84" s="2" t="s">
        <v>14</v>
      </c>
      <c r="E84" s="2" t="s">
        <v>11</v>
      </c>
      <c r="F84" s="2">
        <v>1</v>
      </c>
      <c r="G84" s="2">
        <v>1599</v>
      </c>
      <c r="H84" s="2">
        <v>2566</v>
      </c>
      <c r="I84" s="2">
        <v>2566</v>
      </c>
      <c r="J84" s="2">
        <v>967</v>
      </c>
      <c r="K84" s="2" t="s">
        <v>15</v>
      </c>
    </row>
    <row r="85" spans="1:11" x14ac:dyDescent="0.25">
      <c r="A85" s="2">
        <v>1108</v>
      </c>
      <c r="B85" s="3">
        <v>45302</v>
      </c>
      <c r="C85" s="3" t="s">
        <v>36</v>
      </c>
      <c r="D85" s="2" t="s">
        <v>14</v>
      </c>
      <c r="E85" s="2" t="s">
        <v>11</v>
      </c>
      <c r="F85" s="2">
        <v>1</v>
      </c>
      <c r="G85" s="2">
        <v>806</v>
      </c>
      <c r="H85" s="2">
        <v>1314</v>
      </c>
      <c r="I85" s="2">
        <v>1314</v>
      </c>
      <c r="J85" s="2">
        <v>508</v>
      </c>
      <c r="K85" s="2" t="s">
        <v>12</v>
      </c>
    </row>
    <row r="86" spans="1:11" x14ac:dyDescent="0.25">
      <c r="A86" s="2">
        <v>1109</v>
      </c>
      <c r="B86" s="3">
        <v>45642</v>
      </c>
      <c r="C86" s="3" t="s">
        <v>39</v>
      </c>
      <c r="D86" s="2" t="s">
        <v>10</v>
      </c>
      <c r="E86" s="2" t="s">
        <v>11</v>
      </c>
      <c r="F86" s="2">
        <v>6</v>
      </c>
      <c r="G86" s="2">
        <v>1882</v>
      </c>
      <c r="H86" s="2">
        <v>2599</v>
      </c>
      <c r="I86" s="2">
        <v>15594</v>
      </c>
      <c r="J86" s="2">
        <v>4302</v>
      </c>
      <c r="K86" s="2" t="s">
        <v>24</v>
      </c>
    </row>
    <row r="87" spans="1:11" x14ac:dyDescent="0.25">
      <c r="A87" s="2">
        <v>1111</v>
      </c>
      <c r="B87" s="3">
        <v>45665</v>
      </c>
      <c r="C87" s="3" t="s">
        <v>36</v>
      </c>
      <c r="D87" s="2" t="s">
        <v>27</v>
      </c>
      <c r="E87" s="2" t="s">
        <v>11</v>
      </c>
      <c r="F87" s="2">
        <v>4</v>
      </c>
      <c r="G87" s="2">
        <v>1141</v>
      </c>
      <c r="H87" s="2">
        <v>2197</v>
      </c>
      <c r="I87" s="2">
        <v>8788</v>
      </c>
      <c r="J87" s="2">
        <v>4224</v>
      </c>
      <c r="K87" s="2" t="s">
        <v>15</v>
      </c>
    </row>
    <row r="88" spans="1:11" x14ac:dyDescent="0.25">
      <c r="A88" s="2">
        <v>1112</v>
      </c>
      <c r="B88" s="3">
        <v>45677</v>
      </c>
      <c r="C88" s="3" t="s">
        <v>36</v>
      </c>
      <c r="D88" s="2" t="s">
        <v>19</v>
      </c>
      <c r="E88" s="2" t="s">
        <v>17</v>
      </c>
      <c r="F88" s="2">
        <v>6</v>
      </c>
      <c r="G88" s="2">
        <v>558</v>
      </c>
      <c r="H88" s="2">
        <v>1964</v>
      </c>
      <c r="I88" s="2">
        <v>11784</v>
      </c>
      <c r="J88" s="2">
        <v>8436</v>
      </c>
      <c r="K88" s="2" t="s">
        <v>18</v>
      </c>
    </row>
    <row r="89" spans="1:11" x14ac:dyDescent="0.25">
      <c r="A89" s="2">
        <v>1113</v>
      </c>
      <c r="B89" s="3">
        <v>45659</v>
      </c>
      <c r="C89" s="3" t="s">
        <v>36</v>
      </c>
      <c r="D89" s="2" t="s">
        <v>19</v>
      </c>
      <c r="E89" s="2" t="s">
        <v>17</v>
      </c>
      <c r="F89" s="2">
        <v>1</v>
      </c>
      <c r="G89" s="2">
        <v>732</v>
      </c>
      <c r="H89" s="2">
        <v>1993</v>
      </c>
      <c r="I89" s="2">
        <v>1993</v>
      </c>
      <c r="J89" s="2">
        <v>1261</v>
      </c>
      <c r="K89" s="2" t="s">
        <v>20</v>
      </c>
    </row>
    <row r="90" spans="1:11" x14ac:dyDescent="0.25">
      <c r="A90" s="2">
        <v>1114</v>
      </c>
      <c r="B90" s="3">
        <v>45621</v>
      </c>
      <c r="C90" s="3" t="s">
        <v>37</v>
      </c>
      <c r="D90" s="2" t="s">
        <v>16</v>
      </c>
      <c r="E90" s="2" t="s">
        <v>17</v>
      </c>
      <c r="F90" s="2">
        <v>6</v>
      </c>
      <c r="G90" s="2">
        <v>1322</v>
      </c>
      <c r="H90" s="2">
        <v>2232</v>
      </c>
      <c r="I90" s="2">
        <v>13392</v>
      </c>
      <c r="J90" s="2">
        <v>5460</v>
      </c>
      <c r="K90" s="2" t="s">
        <v>18</v>
      </c>
    </row>
    <row r="91" spans="1:11" x14ac:dyDescent="0.25">
      <c r="A91" s="2">
        <v>1117</v>
      </c>
      <c r="B91" s="3">
        <v>45493</v>
      </c>
      <c r="C91" s="3" t="s">
        <v>42</v>
      </c>
      <c r="D91" s="2" t="s">
        <v>22</v>
      </c>
      <c r="E91" s="2" t="s">
        <v>23</v>
      </c>
      <c r="F91" s="2">
        <v>5</v>
      </c>
      <c r="G91" s="2">
        <v>1393</v>
      </c>
      <c r="H91" s="2">
        <v>1548</v>
      </c>
      <c r="I91" s="2">
        <v>7740</v>
      </c>
      <c r="J91" s="2">
        <v>775</v>
      </c>
      <c r="K91" s="2" t="s">
        <v>15</v>
      </c>
    </row>
    <row r="92" spans="1:11" x14ac:dyDescent="0.25">
      <c r="A92" s="2">
        <v>1118</v>
      </c>
      <c r="B92" s="3">
        <v>45461</v>
      </c>
      <c r="C92" s="3" t="s">
        <v>40</v>
      </c>
      <c r="D92" s="2" t="s">
        <v>27</v>
      </c>
      <c r="E92" s="2" t="s">
        <v>11</v>
      </c>
      <c r="F92" s="2">
        <v>4</v>
      </c>
      <c r="G92" s="2">
        <v>443</v>
      </c>
      <c r="H92" s="2">
        <v>1903</v>
      </c>
      <c r="I92" s="2">
        <v>7612</v>
      </c>
      <c r="J92" s="2">
        <v>5840</v>
      </c>
      <c r="K92" s="2" t="s">
        <v>20</v>
      </c>
    </row>
    <row r="93" spans="1:11" x14ac:dyDescent="0.25">
      <c r="A93" s="2">
        <v>1119</v>
      </c>
      <c r="B93" s="3">
        <v>45477</v>
      </c>
      <c r="C93" s="3" t="s">
        <v>42</v>
      </c>
      <c r="D93" s="2" t="s">
        <v>27</v>
      </c>
      <c r="E93" s="2" t="s">
        <v>11</v>
      </c>
      <c r="F93" s="2">
        <v>4</v>
      </c>
      <c r="G93" s="2">
        <v>339</v>
      </c>
      <c r="H93" s="2">
        <v>668</v>
      </c>
      <c r="I93" s="2">
        <v>2672</v>
      </c>
      <c r="J93" s="2">
        <v>1316</v>
      </c>
      <c r="K93" s="2" t="s">
        <v>21</v>
      </c>
    </row>
    <row r="94" spans="1:11" x14ac:dyDescent="0.25">
      <c r="A94"/>
      <c r="B94"/>
      <c r="C94"/>
      <c r="D94"/>
      <c r="E94"/>
      <c r="F94"/>
      <c r="G94"/>
      <c r="H94"/>
      <c r="I94"/>
      <c r="J94"/>
      <c r="K94"/>
    </row>
    <row r="95" spans="1:11" x14ac:dyDescent="0.25">
      <c r="A95"/>
      <c r="B95"/>
      <c r="C95"/>
      <c r="D95"/>
      <c r="E95"/>
      <c r="F95"/>
      <c r="G95"/>
      <c r="H95"/>
      <c r="I95"/>
      <c r="J95"/>
      <c r="K95"/>
    </row>
    <row r="96" spans="1:11" x14ac:dyDescent="0.25">
      <c r="A96"/>
      <c r="B96"/>
      <c r="C96"/>
      <c r="D96"/>
      <c r="E96"/>
      <c r="F96"/>
      <c r="G96"/>
      <c r="H96"/>
      <c r="I96"/>
      <c r="J96"/>
      <c r="K96"/>
    </row>
    <row r="97" spans="1:11" x14ac:dyDescent="0.25">
      <c r="A97"/>
      <c r="B97"/>
      <c r="C97"/>
      <c r="D97"/>
      <c r="E97"/>
      <c r="F97"/>
      <c r="G97"/>
      <c r="H97"/>
      <c r="I97"/>
      <c r="J97"/>
      <c r="K97"/>
    </row>
    <row r="98" spans="1:11" x14ac:dyDescent="0.25">
      <c r="A98"/>
      <c r="B98"/>
      <c r="C98"/>
      <c r="D98"/>
      <c r="E98"/>
      <c r="F98"/>
      <c r="G98"/>
      <c r="H98"/>
      <c r="I98"/>
      <c r="J98"/>
      <c r="K98"/>
    </row>
    <row r="99" spans="1:11" x14ac:dyDescent="0.25">
      <c r="A99"/>
      <c r="B99"/>
      <c r="C99"/>
      <c r="D99"/>
      <c r="E99"/>
      <c r="F99"/>
      <c r="G99"/>
      <c r="H99"/>
      <c r="I99"/>
      <c r="J99"/>
      <c r="K99"/>
    </row>
    <row r="100" spans="1:11" x14ac:dyDescent="0.25">
      <c r="A100"/>
      <c r="B100"/>
      <c r="C100"/>
      <c r="D100"/>
      <c r="E100"/>
      <c r="F100"/>
      <c r="G100"/>
      <c r="H100"/>
      <c r="I100"/>
      <c r="J100"/>
      <c r="K100"/>
    </row>
    <row r="101" spans="1:11" x14ac:dyDescent="0.25">
      <c r="A101"/>
      <c r="B101"/>
      <c r="C101"/>
      <c r="D101"/>
      <c r="E101"/>
      <c r="F101"/>
      <c r="G101"/>
      <c r="H101"/>
      <c r="I101"/>
      <c r="J101"/>
      <c r="K101"/>
    </row>
    <row r="102" spans="1:11" x14ac:dyDescent="0.25">
      <c r="A102"/>
      <c r="B102"/>
      <c r="C102"/>
      <c r="D102"/>
      <c r="E102"/>
      <c r="F102"/>
      <c r="G102"/>
      <c r="H102"/>
      <c r="I102"/>
      <c r="J102"/>
      <c r="K102"/>
    </row>
    <row r="103" spans="1:11" x14ac:dyDescent="0.25">
      <c r="A103"/>
      <c r="B103"/>
      <c r="C103"/>
      <c r="D103"/>
      <c r="E103"/>
      <c r="F103"/>
      <c r="G103"/>
      <c r="H103"/>
      <c r="I103"/>
      <c r="J103"/>
      <c r="K103"/>
    </row>
    <row r="104" spans="1:11" x14ac:dyDescent="0.25">
      <c r="A104"/>
      <c r="B104"/>
      <c r="C104"/>
      <c r="D104"/>
      <c r="E104"/>
      <c r="F104"/>
      <c r="G104"/>
      <c r="H104"/>
      <c r="I104"/>
      <c r="J104"/>
      <c r="K104"/>
    </row>
    <row r="105" spans="1:11" x14ac:dyDescent="0.25">
      <c r="A105"/>
      <c r="B105"/>
      <c r="C105"/>
      <c r="D105"/>
      <c r="E105"/>
      <c r="F105"/>
      <c r="G105"/>
      <c r="H105"/>
      <c r="I105"/>
      <c r="J105"/>
      <c r="K105"/>
    </row>
    <row r="106" spans="1:11" x14ac:dyDescent="0.25">
      <c r="A106"/>
      <c r="B106"/>
      <c r="C106"/>
      <c r="D106"/>
      <c r="E106"/>
      <c r="F106"/>
      <c r="G106"/>
      <c r="H106"/>
      <c r="I106"/>
      <c r="J106"/>
      <c r="K106"/>
    </row>
    <row r="107" spans="1:11" x14ac:dyDescent="0.25">
      <c r="A107"/>
      <c r="B107"/>
      <c r="C107"/>
      <c r="D107"/>
      <c r="E107"/>
      <c r="F107"/>
      <c r="G107"/>
      <c r="H107"/>
      <c r="I107"/>
      <c r="J107"/>
      <c r="K107"/>
    </row>
    <row r="108" spans="1:11" x14ac:dyDescent="0.25">
      <c r="A108"/>
      <c r="B108"/>
      <c r="C108"/>
      <c r="D108"/>
      <c r="E108"/>
      <c r="F108"/>
      <c r="G108"/>
      <c r="H108"/>
      <c r="I108"/>
      <c r="J108"/>
      <c r="K108"/>
    </row>
    <row r="109" spans="1:11" x14ac:dyDescent="0.25">
      <c r="A109"/>
      <c r="B109"/>
      <c r="C109"/>
      <c r="D109"/>
      <c r="E109"/>
      <c r="F109"/>
      <c r="G109"/>
      <c r="H109"/>
      <c r="I109"/>
      <c r="J109"/>
      <c r="K109"/>
    </row>
    <row r="110" spans="1:11" x14ac:dyDescent="0.25">
      <c r="A110"/>
      <c r="B110"/>
      <c r="C110"/>
      <c r="D110"/>
      <c r="E110"/>
      <c r="F110"/>
      <c r="G110"/>
      <c r="H110"/>
      <c r="I110"/>
      <c r="J110"/>
      <c r="K110"/>
    </row>
    <row r="111" spans="1:11" x14ac:dyDescent="0.25">
      <c r="A111"/>
      <c r="B111"/>
      <c r="C111"/>
      <c r="D111"/>
      <c r="E111"/>
      <c r="F111"/>
      <c r="G111"/>
      <c r="H111"/>
      <c r="I111"/>
      <c r="J111"/>
      <c r="K111"/>
    </row>
    <row r="112" spans="1:11" x14ac:dyDescent="0.25">
      <c r="A112"/>
      <c r="B112"/>
      <c r="C112"/>
      <c r="D112"/>
      <c r="E112"/>
      <c r="F112"/>
      <c r="G112"/>
      <c r="H112"/>
      <c r="I112"/>
      <c r="J112"/>
      <c r="K112"/>
    </row>
    <row r="113" spans="1:11" x14ac:dyDescent="0.25">
      <c r="A113"/>
      <c r="B113"/>
      <c r="C113"/>
      <c r="D113"/>
      <c r="E113"/>
      <c r="F113"/>
      <c r="G113"/>
      <c r="H113"/>
      <c r="I113"/>
      <c r="J113"/>
      <c r="K113"/>
    </row>
    <row r="114" spans="1:11" x14ac:dyDescent="0.25">
      <c r="A114"/>
      <c r="B114"/>
      <c r="C114"/>
      <c r="D114"/>
      <c r="E114"/>
      <c r="F114"/>
      <c r="G114"/>
      <c r="H114"/>
      <c r="I114"/>
      <c r="J114"/>
      <c r="K114"/>
    </row>
    <row r="115" spans="1:11" x14ac:dyDescent="0.25">
      <c r="A115"/>
      <c r="B115"/>
      <c r="C115"/>
      <c r="D115"/>
      <c r="E115"/>
      <c r="F115"/>
      <c r="G115"/>
      <c r="H115"/>
      <c r="I115"/>
      <c r="J115"/>
      <c r="K115"/>
    </row>
    <row r="116" spans="1:11" x14ac:dyDescent="0.25">
      <c r="A116"/>
      <c r="B116"/>
      <c r="C116"/>
      <c r="D116"/>
      <c r="E116"/>
      <c r="F116"/>
      <c r="G116"/>
      <c r="H116"/>
      <c r="I116"/>
      <c r="J116"/>
      <c r="K116"/>
    </row>
    <row r="117" spans="1:11" x14ac:dyDescent="0.25">
      <c r="A117"/>
      <c r="B117"/>
      <c r="C117"/>
      <c r="D117"/>
      <c r="E117"/>
      <c r="F117"/>
      <c r="G117"/>
      <c r="H117"/>
      <c r="I117"/>
      <c r="J117"/>
      <c r="K117"/>
    </row>
    <row r="118" spans="1:11" x14ac:dyDescent="0.25">
      <c r="A118"/>
      <c r="B118"/>
      <c r="C118"/>
      <c r="D118"/>
      <c r="E118"/>
      <c r="F118"/>
      <c r="G118"/>
      <c r="H118"/>
      <c r="I118"/>
      <c r="J118"/>
      <c r="K118"/>
    </row>
    <row r="119" spans="1:11" x14ac:dyDescent="0.25">
      <c r="A119"/>
      <c r="B119"/>
      <c r="C119"/>
      <c r="D119"/>
      <c r="E119"/>
      <c r="F119"/>
      <c r="G119"/>
      <c r="H119"/>
      <c r="I119"/>
      <c r="J119"/>
      <c r="K119"/>
    </row>
    <row r="120" spans="1:11" x14ac:dyDescent="0.25">
      <c r="A120"/>
      <c r="B120"/>
      <c r="C120"/>
      <c r="D120"/>
      <c r="E120"/>
      <c r="F120"/>
      <c r="G120"/>
      <c r="H120"/>
      <c r="I120"/>
      <c r="J120"/>
      <c r="K120"/>
    </row>
    <row r="121" spans="1:11" x14ac:dyDescent="0.25">
      <c r="A121"/>
      <c r="B121"/>
      <c r="C121"/>
      <c r="D121"/>
      <c r="E121"/>
      <c r="F121"/>
      <c r="G121"/>
      <c r="H121"/>
      <c r="I121"/>
      <c r="J121"/>
      <c r="K121"/>
    </row>
    <row r="122" spans="1:11" x14ac:dyDescent="0.25">
      <c r="A122"/>
      <c r="B122"/>
      <c r="C122"/>
      <c r="D122"/>
      <c r="E122"/>
      <c r="F122"/>
      <c r="G122"/>
      <c r="H122"/>
      <c r="I122"/>
      <c r="J122"/>
      <c r="K122"/>
    </row>
    <row r="123" spans="1:11" x14ac:dyDescent="0.25">
      <c r="A123"/>
      <c r="B123"/>
      <c r="C123"/>
      <c r="D123"/>
      <c r="E123"/>
      <c r="F123"/>
      <c r="G123"/>
      <c r="H123"/>
      <c r="I123"/>
      <c r="J123"/>
      <c r="K123"/>
    </row>
    <row r="124" spans="1:11" x14ac:dyDescent="0.25">
      <c r="A124"/>
      <c r="B124"/>
      <c r="C124"/>
      <c r="D124"/>
      <c r="E124"/>
      <c r="F124"/>
      <c r="G124"/>
      <c r="H124"/>
      <c r="I124"/>
      <c r="J124"/>
      <c r="K124"/>
    </row>
    <row r="125" spans="1:11" x14ac:dyDescent="0.25">
      <c r="A125"/>
      <c r="B125"/>
      <c r="C125"/>
      <c r="D125"/>
      <c r="E125"/>
      <c r="F125"/>
      <c r="G125"/>
      <c r="H125"/>
      <c r="I125"/>
      <c r="J125"/>
      <c r="K125"/>
    </row>
    <row r="126" spans="1:11" x14ac:dyDescent="0.25">
      <c r="A126"/>
      <c r="B126"/>
      <c r="C126"/>
      <c r="D126"/>
      <c r="E126"/>
      <c r="F126"/>
      <c r="G126"/>
      <c r="H126"/>
      <c r="I126"/>
      <c r="J126"/>
      <c r="K126"/>
    </row>
    <row r="127" spans="1:11" x14ac:dyDescent="0.25">
      <c r="A127"/>
      <c r="B127"/>
      <c r="C127"/>
      <c r="D127"/>
      <c r="E127"/>
      <c r="F127"/>
      <c r="G127"/>
      <c r="H127"/>
      <c r="I127"/>
      <c r="J127"/>
      <c r="K127"/>
    </row>
    <row r="128" spans="1:11" x14ac:dyDescent="0.25">
      <c r="A128"/>
      <c r="B128"/>
      <c r="C128"/>
      <c r="D128"/>
      <c r="E128"/>
      <c r="F128"/>
      <c r="G128"/>
      <c r="H128"/>
      <c r="I128"/>
      <c r="J128"/>
      <c r="K128"/>
    </row>
    <row r="129" spans="1:11" x14ac:dyDescent="0.25">
      <c r="A129"/>
      <c r="B129"/>
      <c r="C129"/>
      <c r="D129"/>
      <c r="E129"/>
      <c r="F129"/>
      <c r="G129"/>
      <c r="H129"/>
      <c r="I129"/>
      <c r="J129"/>
      <c r="K129"/>
    </row>
    <row r="130" spans="1:11" x14ac:dyDescent="0.25">
      <c r="A130"/>
      <c r="B130"/>
      <c r="C130"/>
      <c r="D130"/>
      <c r="E130"/>
      <c r="F130"/>
      <c r="G130"/>
      <c r="H130"/>
      <c r="I130"/>
      <c r="J130"/>
      <c r="K130"/>
    </row>
    <row r="131" spans="1:11" x14ac:dyDescent="0.25">
      <c r="A131"/>
      <c r="B131"/>
      <c r="C131"/>
      <c r="D131"/>
      <c r="E131"/>
      <c r="F131"/>
      <c r="G131"/>
      <c r="H131"/>
      <c r="I131"/>
      <c r="J131"/>
      <c r="K131"/>
    </row>
    <row r="132" spans="1:11" x14ac:dyDescent="0.25">
      <c r="A132"/>
      <c r="B132"/>
      <c r="C132"/>
      <c r="D132"/>
      <c r="E132"/>
      <c r="F132"/>
      <c r="G132"/>
      <c r="H132"/>
      <c r="I132"/>
      <c r="J132"/>
      <c r="K132"/>
    </row>
    <row r="133" spans="1:11" x14ac:dyDescent="0.25">
      <c r="A133"/>
      <c r="B133"/>
      <c r="C133"/>
      <c r="D133"/>
      <c r="E133"/>
      <c r="F133"/>
      <c r="G133"/>
      <c r="H133"/>
      <c r="I133"/>
      <c r="J133"/>
      <c r="K133"/>
    </row>
    <row r="134" spans="1:11" x14ac:dyDescent="0.25">
      <c r="A134"/>
      <c r="B134"/>
      <c r="C134"/>
      <c r="D134"/>
      <c r="E134"/>
      <c r="F134"/>
      <c r="G134"/>
      <c r="H134"/>
      <c r="I134"/>
      <c r="J134"/>
      <c r="K134"/>
    </row>
    <row r="135" spans="1:11" x14ac:dyDescent="0.25">
      <c r="A135"/>
      <c r="B135"/>
      <c r="C135"/>
      <c r="D135"/>
      <c r="E135"/>
      <c r="F135"/>
      <c r="G135"/>
      <c r="H135"/>
      <c r="I135"/>
      <c r="J135"/>
      <c r="K135"/>
    </row>
    <row r="136" spans="1:11" x14ac:dyDescent="0.25">
      <c r="A136"/>
      <c r="B136"/>
      <c r="C136"/>
      <c r="D136"/>
      <c r="E136"/>
      <c r="F136"/>
      <c r="G136"/>
      <c r="H136"/>
      <c r="I136"/>
      <c r="J136"/>
      <c r="K136"/>
    </row>
    <row r="137" spans="1:11" x14ac:dyDescent="0.25">
      <c r="A137"/>
      <c r="B137"/>
      <c r="C137"/>
      <c r="D137"/>
      <c r="E137"/>
      <c r="F137"/>
      <c r="G137"/>
      <c r="H137"/>
      <c r="I137"/>
      <c r="J137"/>
      <c r="K137"/>
    </row>
    <row r="138" spans="1:11" x14ac:dyDescent="0.25">
      <c r="A138"/>
      <c r="B138"/>
      <c r="C138"/>
      <c r="D138"/>
      <c r="E138"/>
      <c r="F138"/>
      <c r="G138"/>
      <c r="H138"/>
      <c r="I138"/>
      <c r="J138"/>
      <c r="K138"/>
    </row>
    <row r="139" spans="1:11" x14ac:dyDescent="0.25">
      <c r="A139"/>
      <c r="B139"/>
      <c r="C139"/>
      <c r="D139"/>
      <c r="E139"/>
      <c r="F139"/>
      <c r="G139"/>
      <c r="H139"/>
      <c r="I139"/>
      <c r="J139"/>
      <c r="K139"/>
    </row>
    <row r="140" spans="1:11" x14ac:dyDescent="0.25">
      <c r="A140"/>
      <c r="B140"/>
      <c r="C140"/>
      <c r="D140"/>
      <c r="E140"/>
      <c r="F140"/>
      <c r="G140"/>
      <c r="H140"/>
      <c r="I140"/>
      <c r="J140"/>
      <c r="K140"/>
    </row>
    <row r="141" spans="1:11" x14ac:dyDescent="0.25">
      <c r="A141"/>
      <c r="B141"/>
      <c r="C141"/>
      <c r="D141"/>
      <c r="E141"/>
      <c r="F141"/>
      <c r="G141"/>
      <c r="H141"/>
      <c r="I141"/>
      <c r="J141"/>
      <c r="K141"/>
    </row>
    <row r="142" spans="1:11" x14ac:dyDescent="0.25">
      <c r="A142"/>
      <c r="B142"/>
      <c r="C142"/>
      <c r="D142"/>
      <c r="E142"/>
      <c r="F142"/>
      <c r="G142"/>
      <c r="H142"/>
      <c r="I142"/>
      <c r="J142"/>
      <c r="K142"/>
    </row>
    <row r="143" spans="1:11" x14ac:dyDescent="0.25">
      <c r="A143"/>
      <c r="B143"/>
      <c r="C143"/>
      <c r="D143"/>
      <c r="E143"/>
      <c r="F143"/>
      <c r="G143"/>
      <c r="H143"/>
      <c r="I143"/>
      <c r="J143"/>
      <c r="K143"/>
    </row>
    <row r="144" spans="1:11" x14ac:dyDescent="0.25">
      <c r="A144"/>
      <c r="B144"/>
      <c r="C144"/>
      <c r="D144"/>
      <c r="E144"/>
      <c r="F144"/>
      <c r="G144"/>
      <c r="H144"/>
      <c r="I144"/>
      <c r="J144"/>
      <c r="K144"/>
    </row>
    <row r="145" spans="1:11" x14ac:dyDescent="0.25">
      <c r="A145"/>
      <c r="B145"/>
      <c r="C145"/>
      <c r="D145"/>
      <c r="E145"/>
      <c r="F145"/>
      <c r="G145"/>
      <c r="H145"/>
      <c r="I145"/>
      <c r="J145"/>
      <c r="K145"/>
    </row>
    <row r="146" spans="1:11" x14ac:dyDescent="0.25">
      <c r="A146"/>
      <c r="B146"/>
      <c r="C146"/>
      <c r="D146"/>
      <c r="E146"/>
      <c r="F146"/>
      <c r="G146"/>
      <c r="H146"/>
      <c r="I146"/>
      <c r="J146"/>
      <c r="K146"/>
    </row>
    <row r="147" spans="1:11" x14ac:dyDescent="0.25">
      <c r="A147"/>
      <c r="B147"/>
      <c r="C147"/>
      <c r="D147"/>
      <c r="E147"/>
      <c r="F147"/>
      <c r="G147"/>
      <c r="H147"/>
      <c r="I147"/>
      <c r="J147"/>
      <c r="K147"/>
    </row>
    <row r="148" spans="1:11" x14ac:dyDescent="0.25">
      <c r="A148"/>
      <c r="B148"/>
      <c r="C148"/>
      <c r="D148"/>
      <c r="E148"/>
      <c r="F148"/>
      <c r="G148"/>
      <c r="H148"/>
      <c r="I148"/>
      <c r="J148"/>
      <c r="K148"/>
    </row>
    <row r="149" spans="1:11" x14ac:dyDescent="0.25">
      <c r="A149"/>
      <c r="B149"/>
      <c r="C149"/>
      <c r="D149"/>
      <c r="E149"/>
      <c r="F149"/>
      <c r="G149"/>
      <c r="H149"/>
      <c r="I149"/>
      <c r="J149"/>
      <c r="K149"/>
    </row>
    <row r="150" spans="1:11" x14ac:dyDescent="0.25">
      <c r="A150"/>
      <c r="B150"/>
      <c r="C150"/>
      <c r="D150"/>
      <c r="E150"/>
      <c r="F150"/>
      <c r="G150"/>
      <c r="H150"/>
      <c r="I150"/>
      <c r="J150"/>
      <c r="K150"/>
    </row>
    <row r="151" spans="1:11" x14ac:dyDescent="0.25">
      <c r="A151"/>
      <c r="B151"/>
      <c r="C151"/>
      <c r="D151"/>
      <c r="E151"/>
      <c r="F151"/>
      <c r="G151"/>
      <c r="H151"/>
      <c r="I151"/>
      <c r="J151"/>
      <c r="K151"/>
    </row>
    <row r="152" spans="1:11" x14ac:dyDescent="0.25">
      <c r="A152"/>
      <c r="B152"/>
      <c r="C152"/>
      <c r="D152"/>
      <c r="E152"/>
      <c r="F152"/>
      <c r="G152"/>
      <c r="H152"/>
      <c r="I152"/>
      <c r="J152"/>
      <c r="K152"/>
    </row>
    <row r="153" spans="1:11" x14ac:dyDescent="0.25">
      <c r="A153"/>
      <c r="B153"/>
      <c r="C153"/>
      <c r="D153"/>
      <c r="E153"/>
      <c r="F153"/>
      <c r="G153"/>
      <c r="H153"/>
      <c r="I153"/>
      <c r="J153"/>
      <c r="K153"/>
    </row>
    <row r="154" spans="1:11" x14ac:dyDescent="0.25">
      <c r="A154"/>
      <c r="B154"/>
      <c r="C154"/>
      <c r="D154"/>
      <c r="E154"/>
      <c r="F154"/>
      <c r="G154"/>
      <c r="H154"/>
      <c r="I154"/>
      <c r="J154"/>
      <c r="K154"/>
    </row>
    <row r="155" spans="1:11" x14ac:dyDescent="0.25">
      <c r="A155"/>
      <c r="B155"/>
      <c r="C155"/>
      <c r="D155"/>
      <c r="E155"/>
      <c r="F155"/>
      <c r="G155"/>
      <c r="H155"/>
      <c r="I155"/>
      <c r="J155"/>
      <c r="K155"/>
    </row>
    <row r="156" spans="1:11" x14ac:dyDescent="0.25">
      <c r="A156"/>
      <c r="B156"/>
      <c r="C156"/>
      <c r="D156"/>
      <c r="E156"/>
      <c r="F156"/>
      <c r="G156"/>
      <c r="H156"/>
      <c r="I156"/>
      <c r="J156"/>
      <c r="K156"/>
    </row>
    <row r="157" spans="1:11" x14ac:dyDescent="0.25">
      <c r="A157"/>
      <c r="B157"/>
      <c r="C157"/>
      <c r="D157"/>
      <c r="E157"/>
      <c r="F157"/>
      <c r="G157"/>
      <c r="H157"/>
      <c r="I157"/>
      <c r="J157"/>
      <c r="K157"/>
    </row>
    <row r="158" spans="1:11" x14ac:dyDescent="0.25">
      <c r="A158"/>
      <c r="B158"/>
      <c r="C158"/>
      <c r="D158"/>
      <c r="E158"/>
      <c r="F158"/>
      <c r="G158"/>
      <c r="H158"/>
      <c r="I158"/>
      <c r="J158"/>
      <c r="K158"/>
    </row>
    <row r="159" spans="1:11" x14ac:dyDescent="0.25">
      <c r="A159"/>
      <c r="B159"/>
      <c r="C159"/>
      <c r="D159"/>
      <c r="E159"/>
      <c r="F159"/>
      <c r="G159"/>
      <c r="H159"/>
      <c r="I159"/>
      <c r="J159"/>
      <c r="K159"/>
    </row>
    <row r="160" spans="1:11" x14ac:dyDescent="0.25">
      <c r="A160"/>
      <c r="B160"/>
      <c r="C160"/>
      <c r="D160"/>
      <c r="E160"/>
      <c r="F160"/>
      <c r="G160"/>
      <c r="H160"/>
      <c r="I160"/>
      <c r="J160"/>
      <c r="K160"/>
    </row>
    <row r="161" spans="1:11" x14ac:dyDescent="0.25">
      <c r="A161"/>
      <c r="B161"/>
      <c r="C161"/>
      <c r="D161"/>
      <c r="E161"/>
      <c r="F161"/>
      <c r="G161"/>
      <c r="H161"/>
      <c r="I161"/>
      <c r="J161"/>
      <c r="K161"/>
    </row>
  </sheetData>
  <autoFilter ref="A1:K93" xr:uid="{583E5475-3391-4BE4-B5C8-12530744AD29}">
    <sortState xmlns:xlrd2="http://schemas.microsoft.com/office/spreadsheetml/2017/richdata2" ref="A2:K93">
      <sortCondition ref="A1"/>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CCF5C-AC35-46F7-899F-F93511661160}">
  <dimension ref="A1"/>
  <sheetViews>
    <sheetView showGridLines="0" tabSelected="1" zoomScale="80" zoomScaleNormal="80" workbookViewId="0">
      <selection activeCell="E26" sqref="E2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Original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swayam panchal</dc:creator>
  <cp:lastModifiedBy>swayam panchal</cp:lastModifiedBy>
  <dcterms:created xsi:type="dcterms:W3CDTF">2026-02-10T11:25:39Z</dcterms:created>
  <dcterms:modified xsi:type="dcterms:W3CDTF">2026-02-10T12:49:55Z</dcterms:modified>
</cp:coreProperties>
</file>